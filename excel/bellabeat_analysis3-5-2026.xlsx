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llabeat\"/>
    </mc:Choice>
  </mc:AlternateContent>
  <bookViews>
    <workbookView xWindow="0" yWindow="0" windowWidth="19200" windowHeight="6930" activeTab="3"/>
  </bookViews>
  <sheets>
    <sheet name="DailyActive" sheetId="2" r:id="rId1"/>
    <sheet name="DailySleep" sheetId="3" r:id="rId2"/>
    <sheet name="Merge" sheetId="6" r:id="rId3"/>
    <sheet name="Discriptive Analysis" sheetId="7" r:id="rId4"/>
  </sheets>
  <definedNames>
    <definedName name="_xlchart.v1.0" hidden="1">'Discriptive Analysis'!$E$94:$E$118</definedName>
    <definedName name="_xlchart.v1.1" hidden="1">'Discriptive Analysis'!$F$93</definedName>
    <definedName name="_xlchart.v1.2" hidden="1">'Discriptive Analysis'!$F$94:$F$118</definedName>
    <definedName name="_xlchart.v1.3" hidden="1">'Discriptive Analysis'!$E$94:$E$118</definedName>
    <definedName name="_xlchart.v1.4" hidden="1">'Discriptive Analysis'!$F$93</definedName>
    <definedName name="_xlchart.v1.5" hidden="1">'Discriptive Analysis'!$F$94:$F$118</definedName>
    <definedName name="ExternalData_1" localSheetId="0" hidden="1">DailyActive!$A$1:$P$458</definedName>
    <definedName name="ExternalData_1" localSheetId="1" hidden="1">DailySleep!$A$1:$F$411</definedName>
    <definedName name="ExternalData_1" localSheetId="2" hidden="1">Merge!$A$1:$T$458</definedName>
  </definedNames>
  <calcPr calcId="162913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7" i="7" l="1"/>
  <c r="U458" i="6"/>
  <c r="U457" i="6"/>
  <c r="U456" i="6"/>
  <c r="U455" i="6"/>
  <c r="U454" i="6"/>
  <c r="U453" i="6"/>
  <c r="U452" i="6"/>
  <c r="U451" i="6"/>
  <c r="U450" i="6"/>
  <c r="U449" i="6"/>
  <c r="U448" i="6"/>
  <c r="U447" i="6"/>
  <c r="U446" i="6"/>
  <c r="U445" i="6"/>
  <c r="U444" i="6"/>
  <c r="U443" i="6"/>
  <c r="U442" i="6"/>
  <c r="U441" i="6"/>
  <c r="U440" i="6"/>
  <c r="U439" i="6"/>
  <c r="U438" i="6"/>
  <c r="U437" i="6"/>
  <c r="U436" i="6"/>
  <c r="U435" i="6"/>
  <c r="U434" i="6"/>
  <c r="U433" i="6"/>
  <c r="U432" i="6"/>
  <c r="U431" i="6"/>
  <c r="U430" i="6"/>
  <c r="U429" i="6"/>
  <c r="U428" i="6"/>
  <c r="U427" i="6"/>
  <c r="U426" i="6"/>
  <c r="U425" i="6"/>
  <c r="U424" i="6"/>
  <c r="U423" i="6"/>
  <c r="U422" i="6"/>
  <c r="U421" i="6"/>
  <c r="U420" i="6"/>
  <c r="U419" i="6"/>
  <c r="U418" i="6"/>
  <c r="U417" i="6"/>
  <c r="U416" i="6"/>
  <c r="U415" i="6"/>
  <c r="U414" i="6"/>
  <c r="U413" i="6"/>
  <c r="U412" i="6"/>
  <c r="U411" i="6"/>
  <c r="U410" i="6"/>
  <c r="U409" i="6"/>
  <c r="U408" i="6"/>
  <c r="U407" i="6"/>
  <c r="U406" i="6"/>
  <c r="U405" i="6"/>
  <c r="U404" i="6"/>
  <c r="U403" i="6"/>
  <c r="U402" i="6"/>
  <c r="U401" i="6"/>
  <c r="U400" i="6"/>
  <c r="U399" i="6"/>
  <c r="U398" i="6"/>
  <c r="U397" i="6"/>
  <c r="U396" i="6"/>
  <c r="U395" i="6"/>
  <c r="U394" i="6"/>
  <c r="U393" i="6"/>
  <c r="U392" i="6"/>
  <c r="U391" i="6"/>
  <c r="U390" i="6"/>
  <c r="U389" i="6"/>
  <c r="U388" i="6"/>
  <c r="U387" i="6"/>
  <c r="U386" i="6"/>
  <c r="U385" i="6"/>
  <c r="U384" i="6"/>
  <c r="U383" i="6"/>
  <c r="U382" i="6"/>
  <c r="U381" i="6"/>
  <c r="U380" i="6"/>
  <c r="U379" i="6"/>
  <c r="U378" i="6"/>
  <c r="U377" i="6"/>
  <c r="U376" i="6"/>
  <c r="U375" i="6"/>
  <c r="U374" i="6"/>
  <c r="U373" i="6"/>
  <c r="U372" i="6"/>
  <c r="U371" i="6"/>
  <c r="U370" i="6"/>
  <c r="U369" i="6"/>
  <c r="U368" i="6"/>
  <c r="U367" i="6"/>
  <c r="U366" i="6"/>
  <c r="U365" i="6"/>
  <c r="U364" i="6"/>
  <c r="U363" i="6"/>
  <c r="U362" i="6"/>
  <c r="U361" i="6"/>
  <c r="U360" i="6"/>
  <c r="U359" i="6"/>
  <c r="U358" i="6"/>
  <c r="U357" i="6"/>
  <c r="U356" i="6"/>
  <c r="U355" i="6"/>
  <c r="U354" i="6"/>
  <c r="U353" i="6"/>
  <c r="U352" i="6"/>
  <c r="U351" i="6"/>
  <c r="U350" i="6"/>
  <c r="U349" i="6"/>
  <c r="U348" i="6"/>
  <c r="U347" i="6"/>
  <c r="U346" i="6"/>
  <c r="U345" i="6"/>
  <c r="U344" i="6"/>
  <c r="U343" i="6"/>
  <c r="U342" i="6"/>
  <c r="U341" i="6"/>
  <c r="U340" i="6"/>
  <c r="U339" i="6"/>
  <c r="U338" i="6"/>
  <c r="U337" i="6"/>
  <c r="U336" i="6"/>
  <c r="U335" i="6"/>
  <c r="U334" i="6"/>
  <c r="U333" i="6"/>
  <c r="U332" i="6"/>
  <c r="U331" i="6"/>
  <c r="U330" i="6"/>
  <c r="U329" i="6"/>
  <c r="U328" i="6"/>
  <c r="U327" i="6"/>
  <c r="U326" i="6"/>
  <c r="U325" i="6"/>
  <c r="U324" i="6"/>
  <c r="U323" i="6"/>
  <c r="U322" i="6"/>
  <c r="U321" i="6"/>
  <c r="U320" i="6"/>
  <c r="U319" i="6"/>
  <c r="U318" i="6"/>
  <c r="U317" i="6"/>
  <c r="U316" i="6"/>
  <c r="U315" i="6"/>
  <c r="U314" i="6"/>
  <c r="U313" i="6"/>
  <c r="U312" i="6"/>
  <c r="U311" i="6"/>
  <c r="U310" i="6"/>
  <c r="U309" i="6"/>
  <c r="U308" i="6"/>
  <c r="U307" i="6"/>
  <c r="U306" i="6"/>
  <c r="U305" i="6"/>
  <c r="U304" i="6"/>
  <c r="U303" i="6"/>
  <c r="U302" i="6"/>
  <c r="U301" i="6"/>
  <c r="U300" i="6"/>
  <c r="U299" i="6"/>
  <c r="U298" i="6"/>
  <c r="U297" i="6"/>
  <c r="U296" i="6"/>
  <c r="U295" i="6"/>
  <c r="U294" i="6"/>
  <c r="U293" i="6"/>
  <c r="U292" i="6"/>
  <c r="U291" i="6"/>
  <c r="U290" i="6"/>
  <c r="U289" i="6"/>
  <c r="U288" i="6"/>
  <c r="U287" i="6"/>
  <c r="U286" i="6"/>
  <c r="U285" i="6"/>
  <c r="U284" i="6"/>
  <c r="U283" i="6"/>
  <c r="U282" i="6"/>
  <c r="U281" i="6"/>
  <c r="U280" i="6"/>
  <c r="U279" i="6"/>
  <c r="U278" i="6"/>
  <c r="U277" i="6"/>
  <c r="U276" i="6"/>
  <c r="U275" i="6"/>
  <c r="U274" i="6"/>
  <c r="U273" i="6"/>
  <c r="U272" i="6"/>
  <c r="U271" i="6"/>
  <c r="U270" i="6"/>
  <c r="U269" i="6"/>
  <c r="U268" i="6"/>
  <c r="U267" i="6"/>
  <c r="U266" i="6"/>
  <c r="U265" i="6"/>
  <c r="U264" i="6"/>
  <c r="U263" i="6"/>
  <c r="U262" i="6"/>
  <c r="U261" i="6"/>
  <c r="U260" i="6"/>
  <c r="U259" i="6"/>
  <c r="U258" i="6"/>
  <c r="U257" i="6"/>
  <c r="U256" i="6"/>
  <c r="U255" i="6"/>
  <c r="U254" i="6"/>
  <c r="U253" i="6"/>
  <c r="U252" i="6"/>
  <c r="U251" i="6"/>
  <c r="U250" i="6"/>
  <c r="U249" i="6"/>
  <c r="U248" i="6"/>
  <c r="U247" i="6"/>
  <c r="U246" i="6"/>
  <c r="U245" i="6"/>
  <c r="U244" i="6"/>
  <c r="U243" i="6"/>
  <c r="U242" i="6"/>
  <c r="U241" i="6"/>
  <c r="U240" i="6"/>
  <c r="U239" i="6"/>
  <c r="U238" i="6"/>
  <c r="U237" i="6"/>
  <c r="U236" i="6"/>
  <c r="U235" i="6"/>
  <c r="U234" i="6"/>
  <c r="U233" i="6"/>
  <c r="U232" i="6"/>
  <c r="U231" i="6"/>
  <c r="U230" i="6"/>
  <c r="U229" i="6"/>
  <c r="U228" i="6"/>
  <c r="U227" i="6"/>
  <c r="U226" i="6"/>
  <c r="U225" i="6"/>
  <c r="U224" i="6"/>
  <c r="U223" i="6"/>
  <c r="U222" i="6"/>
  <c r="U221" i="6"/>
  <c r="U220" i="6"/>
  <c r="U219" i="6"/>
  <c r="U218" i="6"/>
  <c r="U217" i="6"/>
  <c r="U216" i="6"/>
  <c r="U215" i="6"/>
  <c r="U214" i="6"/>
  <c r="U213" i="6"/>
  <c r="U212" i="6"/>
  <c r="U211" i="6"/>
  <c r="U210" i="6"/>
  <c r="U209" i="6"/>
  <c r="U208" i="6"/>
  <c r="U207" i="6"/>
  <c r="U206" i="6"/>
  <c r="U205" i="6"/>
  <c r="U204" i="6"/>
  <c r="U203" i="6"/>
  <c r="U202" i="6"/>
  <c r="U201" i="6"/>
  <c r="U200" i="6"/>
  <c r="U199" i="6"/>
  <c r="U198" i="6"/>
  <c r="U197" i="6"/>
  <c r="U196" i="6"/>
  <c r="U195" i="6"/>
  <c r="U194" i="6"/>
  <c r="U193" i="6"/>
  <c r="U192" i="6"/>
  <c r="U191" i="6"/>
  <c r="U190" i="6"/>
  <c r="U189" i="6"/>
  <c r="U188" i="6"/>
  <c r="U187" i="6"/>
  <c r="U186" i="6"/>
  <c r="U185" i="6"/>
  <c r="U184" i="6"/>
  <c r="U183" i="6"/>
  <c r="U182" i="6"/>
  <c r="U181" i="6"/>
  <c r="U180" i="6"/>
  <c r="U179" i="6"/>
  <c r="U178" i="6"/>
  <c r="U177" i="6"/>
  <c r="U176" i="6"/>
  <c r="U175" i="6"/>
  <c r="U174" i="6"/>
  <c r="U173" i="6"/>
  <c r="U172" i="6"/>
  <c r="U171" i="6"/>
  <c r="U170" i="6"/>
  <c r="U169" i="6"/>
  <c r="U168" i="6"/>
  <c r="U167" i="6"/>
  <c r="U166" i="6"/>
  <c r="U165" i="6"/>
  <c r="U164" i="6"/>
  <c r="U163" i="6"/>
  <c r="U162" i="6"/>
  <c r="U161" i="6"/>
  <c r="U160" i="6"/>
  <c r="U159" i="6"/>
  <c r="U158" i="6"/>
  <c r="U157" i="6"/>
  <c r="U156" i="6"/>
  <c r="U155" i="6"/>
  <c r="U154" i="6"/>
  <c r="U153" i="6"/>
  <c r="U152" i="6"/>
  <c r="U151" i="6"/>
  <c r="U150" i="6"/>
  <c r="U149" i="6"/>
  <c r="U148" i="6"/>
  <c r="U147" i="6"/>
  <c r="U146" i="6"/>
  <c r="U145" i="6"/>
  <c r="U144" i="6"/>
  <c r="U143" i="6"/>
  <c r="U142" i="6"/>
  <c r="U141" i="6"/>
  <c r="U140" i="6"/>
  <c r="U139" i="6"/>
  <c r="U138" i="6"/>
  <c r="U137" i="6"/>
  <c r="U136" i="6"/>
  <c r="U135" i="6"/>
  <c r="U134" i="6"/>
  <c r="U133" i="6"/>
  <c r="U132" i="6"/>
  <c r="U131" i="6"/>
  <c r="U130" i="6"/>
  <c r="U129" i="6"/>
  <c r="U128" i="6"/>
  <c r="U127" i="6"/>
  <c r="U126" i="6"/>
  <c r="U125" i="6"/>
  <c r="U124" i="6"/>
  <c r="U123" i="6"/>
  <c r="U122" i="6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U2" i="6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connections.xml><?xml version="1.0" encoding="utf-8"?>
<connections xmlns="http://schemas.openxmlformats.org/spreadsheetml/2006/main">
  <connection id="1" keepAlive="1" name="Query - dailyActivity_merged" description="Connection to the 'dailyActivity_merged' query in the workbook." type="5" refreshedVersion="6" background="1" saveData="1">
    <dbPr connection="Provider=Microsoft.Mashup.OleDb.1;Data Source=$Workbook$;Location=dailyActivity_merged;Extended Properties=&quot;&quot;" command="SELECT * FROM [dailyActivity_merged]"/>
  </connection>
  <connection id="2" keepAlive="1" name="Query - Merge2" description="Connection to the 'Merge2' query in the workbook." type="5" refreshedVersion="6" background="1" saveData="1">
    <dbPr connection="Provider=Microsoft.Mashup.OleDb.1;Data Source=$Workbook$;Location=Merge2;Extended Properties=&quot;&quot;" command="SELECT * FROM [Merge2]"/>
  </connection>
  <connection id="3" keepAlive="1" name="Query - sleepDay_merged" description="Connection to the 'sleepDay_merged' query in the workbook." type="5" refreshedVersion="6" background="1" saveData="1">
    <dbPr connection="Provider=Microsoft.Mashup.OleDb.1;Data Source=$Workbook$;Location=sleepDay_merged;Extended Properties=&quot;&quot;" command="SELECT * FROM [sleepDay_merged]"/>
  </connection>
</connections>
</file>

<file path=xl/sharedStrings.xml><?xml version="1.0" encoding="utf-8"?>
<sst xmlns="http://schemas.openxmlformats.org/spreadsheetml/2006/main" count="1011" uniqueCount="58">
  <si>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</si>
  <si>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</si>
  <si>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</si>
  <si>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</si>
  <si>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</si>
  <si>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</si>
  <si>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</si>
  <si>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</si>
  <si>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</si>
  <si>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</si>
  <si>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</si>
  <si>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</si>
  <si>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</si>
  <si>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</si>
  <si>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</si>
  <si>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ActivityLevel</t>
  </si>
  <si>
    <t>Active</t>
  </si>
  <si>
    <t>Sedentary</t>
  </si>
  <si>
    <t>Moderately Active</t>
  </si>
  <si>
    <t>Lightly Active</t>
  </si>
  <si>
    <t>SleepDay</t>
  </si>
  <si>
    <t>TotalSleepRecords</t>
  </si>
  <si>
    <t>TotalMinutesAsleep</t>
  </si>
  <si>
    <t>TotalTimeInBed</t>
  </si>
  <si>
    <t>Date</t>
  </si>
  <si>
    <t>sleepDay_merged.SleepDay</t>
  </si>
  <si>
    <t>sleepDay_merged.TotalSleepRecords</t>
  </si>
  <si>
    <t>sleepDay_merged.TotalMinutesAsleep</t>
  </si>
  <si>
    <t>sleepDay_merged.TotalTimeInBed</t>
  </si>
  <si>
    <t>Average of TotalSteps</t>
  </si>
  <si>
    <t>Average of SedentaryMinutes</t>
  </si>
  <si>
    <t>Row Labels</t>
  </si>
  <si>
    <t>Grand Total</t>
  </si>
  <si>
    <t>Mar</t>
  </si>
  <si>
    <t>Apr</t>
  </si>
  <si>
    <t>Average Daily Activity Metrics by User</t>
  </si>
  <si>
    <t>Average Daily Activity Metrics by Month</t>
  </si>
  <si>
    <t>Average of FairlyActiveMinutes</t>
  </si>
  <si>
    <t>Average of VeryActiveMinutes</t>
  </si>
  <si>
    <t>Average of LightlyActiveMinutes</t>
  </si>
  <si>
    <t>Activity Intensity Breakdown</t>
  </si>
  <si>
    <t>Sleep Duration and Effiency Analysis</t>
  </si>
  <si>
    <t>Average of TotalMinutesAsleep</t>
  </si>
  <si>
    <t>Average of TotalTimeInBed</t>
  </si>
  <si>
    <t>Sleep Efficiency</t>
  </si>
  <si>
    <t>Activity vs Sleep by user:</t>
  </si>
  <si>
    <t>Average of Calories</t>
  </si>
  <si>
    <t>Calories VS activity per user</t>
  </si>
  <si>
    <t>Day of week</t>
  </si>
  <si>
    <t>DayofWeek</t>
  </si>
  <si>
    <t>Sunday</t>
  </si>
  <si>
    <t>Monday</t>
  </si>
  <si>
    <t>Tuesday</t>
  </si>
  <si>
    <t>Wednesday</t>
  </si>
  <si>
    <t>Thursday</t>
  </si>
  <si>
    <t>Friday</t>
  </si>
  <si>
    <t>Saturday</t>
  </si>
  <si>
    <t>Activity by 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</si>
</sst>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59595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NumberFormat="1" applyFont="1" applyFill="1" applyBorder="1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[dailyACtivity_SleepDay_merged3-5-2026.xlsx]Discriptive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Daily Activity Metrics by User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'Discriptive Analysis'!$B$3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'Discriptive Analysis'!$A$4:$A$39</c:f>
              <c:strCache>
                <c:ptCount val="35"/>
                <c:pt idx="0">
                  <c:v>1503960366</c:v>
                </c:pt>
                <c:pt idx="1">
                  <c:v>1624580081</c:v>
                </c:pt>
                <c:pt idx="2">
                  <c:v>1644430081</c:v>
                </c:pt>
                <c:pt idx="3">
                  <c:v>1844505072</c:v>
                </c:pt>
                <c:pt idx="4">
                  <c:v>1927972279</c:v>
                </c:pt>
                <c:pt idx="5">
                  <c:v>2022484408</c:v>
                </c:pt>
                <c:pt idx="6">
                  <c:v>2026352035</c:v>
                </c:pt>
                <c:pt idx="7">
                  <c:v>2320127002</c:v>
                </c:pt>
                <c:pt idx="8">
                  <c:v>2347167796</c:v>
                </c:pt>
                <c:pt idx="9">
                  <c:v>2873212765</c:v>
                </c:pt>
                <c:pt idx="10">
                  <c:v>2891001357</c:v>
                </c:pt>
                <c:pt idx="11">
                  <c:v>3372868164</c:v>
                </c:pt>
                <c:pt idx="12">
                  <c:v>3977333714</c:v>
                </c:pt>
                <c:pt idx="13">
                  <c:v>4020332650</c:v>
                </c:pt>
                <c:pt idx="14">
                  <c:v>4057192912</c:v>
                </c:pt>
                <c:pt idx="15">
                  <c:v>4319703577</c:v>
                </c:pt>
                <c:pt idx="16">
                  <c:v>4388161847</c:v>
                </c:pt>
                <c:pt idx="17">
                  <c:v>4445114986</c:v>
                </c:pt>
                <c:pt idx="18">
                  <c:v>4558609924</c:v>
                </c:pt>
                <c:pt idx="19">
                  <c:v>4702921684</c:v>
                </c:pt>
                <c:pt idx="20">
                  <c:v>5553957443</c:v>
                </c:pt>
                <c:pt idx="21">
                  <c:v>5577150313</c:v>
                </c:pt>
                <c:pt idx="22">
                  <c:v>6117666160</c:v>
                </c:pt>
                <c:pt idx="23">
                  <c:v>6290855005</c:v>
                </c:pt>
                <c:pt idx="24">
                  <c:v>6391747486</c:v>
                </c:pt>
                <c:pt idx="25">
                  <c:v>6775888955</c:v>
                </c:pt>
                <c:pt idx="26">
                  <c:v>6962181067</c:v>
                </c:pt>
                <c:pt idx="27">
                  <c:v>7007744171</c:v>
                </c:pt>
                <c:pt idx="28">
                  <c:v>7086361926</c:v>
                </c:pt>
                <c:pt idx="29">
                  <c:v>8053475328</c:v>
                </c:pt>
                <c:pt idx="30">
                  <c:v>8253242879</c:v>
                </c:pt>
                <c:pt idx="31">
                  <c:v>8378563200</c:v>
                </c:pt>
                <c:pt idx="32">
                  <c:v>8583815059</c:v>
                </c:pt>
                <c:pt idx="33">
                  <c:v>8792009665</c:v>
                </c:pt>
                <c:pt idx="34">
                  <c:v>8877689391</c:v>
                </c:pt>
              </c:strCache>
            </c:strRef>
          </c:cat>
          <c:val>
            <c:numRef>
              <c:f>'Discriptive Analysis'!$B$4:$B$39</c:f>
              <c:numCache>
                <c:formatCode>General</c:formatCode>
                <c:ptCount val="35"/>
                <c:pt idx="0">
                  <c:v>11640.526315789473</c:v>
                </c:pt>
                <c:pt idx="1">
                  <c:v>4226.2631578947367</c:v>
                </c:pt>
                <c:pt idx="2">
                  <c:v>9274.7999999999993</c:v>
                </c:pt>
                <c:pt idx="3">
                  <c:v>3640.5833333333335</c:v>
                </c:pt>
                <c:pt idx="4">
                  <c:v>2180.8333333333335</c:v>
                </c:pt>
                <c:pt idx="5">
                  <c:v>12174.916666666666</c:v>
                </c:pt>
                <c:pt idx="6">
                  <c:v>3392.75</c:v>
                </c:pt>
                <c:pt idx="7">
                  <c:v>3138.4166666666665</c:v>
                </c:pt>
                <c:pt idx="8">
                  <c:v>9800.0666666666675</c:v>
                </c:pt>
                <c:pt idx="9">
                  <c:v>6636.583333333333</c:v>
                </c:pt>
                <c:pt idx="10">
                  <c:v>773.625</c:v>
                </c:pt>
                <c:pt idx="11">
                  <c:v>6127.5</c:v>
                </c:pt>
                <c:pt idx="12">
                  <c:v>8663.9166666666661</c:v>
                </c:pt>
                <c:pt idx="13">
                  <c:v>5776.59375</c:v>
                </c:pt>
                <c:pt idx="14">
                  <c:v>1887.21875</c:v>
                </c:pt>
                <c:pt idx="15">
                  <c:v>7820.583333333333</c:v>
                </c:pt>
                <c:pt idx="16">
                  <c:v>0</c:v>
                </c:pt>
                <c:pt idx="17">
                  <c:v>4293.0666666666666</c:v>
                </c:pt>
                <c:pt idx="18">
                  <c:v>5785.25</c:v>
                </c:pt>
                <c:pt idx="19">
                  <c:v>7943.4</c:v>
                </c:pt>
                <c:pt idx="20">
                  <c:v>8354.75</c:v>
                </c:pt>
                <c:pt idx="21">
                  <c:v>8608.181818181818</c:v>
                </c:pt>
                <c:pt idx="22">
                  <c:v>8248.6</c:v>
                </c:pt>
                <c:pt idx="23">
                  <c:v>1618.1</c:v>
                </c:pt>
                <c:pt idx="24">
                  <c:v>1336.8888888888889</c:v>
                </c:pt>
                <c:pt idx="25">
                  <c:v>5559</c:v>
                </c:pt>
                <c:pt idx="26">
                  <c:v>12639.714285714286</c:v>
                </c:pt>
                <c:pt idx="27">
                  <c:v>12260.333333333334</c:v>
                </c:pt>
                <c:pt idx="28">
                  <c:v>6103.916666666667</c:v>
                </c:pt>
                <c:pt idx="29">
                  <c:v>14844.363636363636</c:v>
                </c:pt>
                <c:pt idx="30">
                  <c:v>2389.9166666666665</c:v>
                </c:pt>
                <c:pt idx="31">
                  <c:v>8135.25</c:v>
                </c:pt>
                <c:pt idx="32">
                  <c:v>3045.5</c:v>
                </c:pt>
                <c:pt idx="33">
                  <c:v>3094.9166666666665</c:v>
                </c:pt>
                <c:pt idx="34">
                  <c:v>17417.083333333332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9-4645-9AC5-E9D2F90BA1AE}"/>
            </c:ext>
          </c:extLst>
        </c:ser>
        <c:ser>
          <c:idx val="1"/>
          <c:order val="1"/>
          <c:tx>
            <c:strRef>
              <c:f>'Discriptive Analysis'!$C$3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'Discriptive Analysis'!$A$4:$A$39</c:f>
              <c:strCache>
                <c:ptCount val="35"/>
                <c:pt idx="0">
                  <c:v>1503960366</c:v>
                </c:pt>
                <c:pt idx="1">
                  <c:v>1624580081</c:v>
                </c:pt>
                <c:pt idx="2">
                  <c:v>1644430081</c:v>
                </c:pt>
                <c:pt idx="3">
                  <c:v>1844505072</c:v>
                </c:pt>
                <c:pt idx="4">
                  <c:v>1927972279</c:v>
                </c:pt>
                <c:pt idx="5">
                  <c:v>2022484408</c:v>
                </c:pt>
                <c:pt idx="6">
                  <c:v>2026352035</c:v>
                </c:pt>
                <c:pt idx="7">
                  <c:v>2320127002</c:v>
                </c:pt>
                <c:pt idx="8">
                  <c:v>2347167796</c:v>
                </c:pt>
                <c:pt idx="9">
                  <c:v>2873212765</c:v>
                </c:pt>
                <c:pt idx="10">
                  <c:v>2891001357</c:v>
                </c:pt>
                <c:pt idx="11">
                  <c:v>3372868164</c:v>
                </c:pt>
                <c:pt idx="12">
                  <c:v>3977333714</c:v>
                </c:pt>
                <c:pt idx="13">
                  <c:v>4020332650</c:v>
                </c:pt>
                <c:pt idx="14">
                  <c:v>4057192912</c:v>
                </c:pt>
                <c:pt idx="15">
                  <c:v>4319703577</c:v>
                </c:pt>
                <c:pt idx="16">
                  <c:v>4388161847</c:v>
                </c:pt>
                <c:pt idx="17">
                  <c:v>4445114986</c:v>
                </c:pt>
                <c:pt idx="18">
                  <c:v>4558609924</c:v>
                </c:pt>
                <c:pt idx="19">
                  <c:v>4702921684</c:v>
                </c:pt>
                <c:pt idx="20">
                  <c:v>5553957443</c:v>
                </c:pt>
                <c:pt idx="21">
                  <c:v>5577150313</c:v>
                </c:pt>
                <c:pt idx="22">
                  <c:v>6117666160</c:v>
                </c:pt>
                <c:pt idx="23">
                  <c:v>6290855005</c:v>
                </c:pt>
                <c:pt idx="24">
                  <c:v>6391747486</c:v>
                </c:pt>
                <c:pt idx="25">
                  <c:v>6775888955</c:v>
                </c:pt>
                <c:pt idx="26">
                  <c:v>6962181067</c:v>
                </c:pt>
                <c:pt idx="27">
                  <c:v>7007744171</c:v>
                </c:pt>
                <c:pt idx="28">
                  <c:v>7086361926</c:v>
                </c:pt>
                <c:pt idx="29">
                  <c:v>8053475328</c:v>
                </c:pt>
                <c:pt idx="30">
                  <c:v>8253242879</c:v>
                </c:pt>
                <c:pt idx="31">
                  <c:v>8378563200</c:v>
                </c:pt>
                <c:pt idx="32">
                  <c:v>8583815059</c:v>
                </c:pt>
                <c:pt idx="33">
                  <c:v>8792009665</c:v>
                </c:pt>
                <c:pt idx="34">
                  <c:v>8877689391</c:v>
                </c:pt>
              </c:strCache>
            </c:strRef>
          </c:cat>
          <c:val>
            <c:numRef>
              <c:f>'Discriptive Analysis'!$C$4:$C$39</c:f>
              <c:numCache>
                <c:formatCode>General</c:formatCode>
                <c:ptCount val="35"/>
                <c:pt idx="0">
                  <c:v>809.84210526315792</c:v>
                </c:pt>
                <c:pt idx="1">
                  <c:v>1278.3157894736842</c:v>
                </c:pt>
                <c:pt idx="2">
                  <c:v>1034.2</c:v>
                </c:pt>
                <c:pt idx="3">
                  <c:v>1035.3333333333333</c:v>
                </c:pt>
                <c:pt idx="4">
                  <c:v>952.91666666666663</c:v>
                </c:pt>
                <c:pt idx="5">
                  <c:v>1058.9166666666667</c:v>
                </c:pt>
                <c:pt idx="6">
                  <c:v>659.16666666666663</c:v>
                </c:pt>
                <c:pt idx="7">
                  <c:v>1249.25</c:v>
                </c:pt>
                <c:pt idx="8">
                  <c:v>683.86666666666667</c:v>
                </c:pt>
                <c:pt idx="9">
                  <c:v>1136.9166666666667</c:v>
                </c:pt>
                <c:pt idx="10">
                  <c:v>1099.875</c:v>
                </c:pt>
                <c:pt idx="11">
                  <c:v>1085.0999999999999</c:v>
                </c:pt>
                <c:pt idx="12">
                  <c:v>708.75</c:v>
                </c:pt>
                <c:pt idx="13">
                  <c:v>1083.21875</c:v>
                </c:pt>
                <c:pt idx="14">
                  <c:v>1358.0625</c:v>
                </c:pt>
                <c:pt idx="15">
                  <c:v>780.08333333333337</c:v>
                </c:pt>
                <c:pt idx="16">
                  <c:v>1384.25</c:v>
                </c:pt>
                <c:pt idx="17">
                  <c:v>861.4</c:v>
                </c:pt>
                <c:pt idx="18">
                  <c:v>1085.3333333333333</c:v>
                </c:pt>
                <c:pt idx="19">
                  <c:v>726.73333333333335</c:v>
                </c:pt>
                <c:pt idx="20">
                  <c:v>607.75</c:v>
                </c:pt>
                <c:pt idx="21">
                  <c:v>665.81818181818187</c:v>
                </c:pt>
                <c:pt idx="22">
                  <c:v>864.1</c:v>
                </c:pt>
                <c:pt idx="23">
                  <c:v>1289.5999999999999</c:v>
                </c:pt>
                <c:pt idx="24">
                  <c:v>1261.8888888888889</c:v>
                </c:pt>
                <c:pt idx="25">
                  <c:v>1017.8888888888889</c:v>
                </c:pt>
                <c:pt idx="26">
                  <c:v>606.28571428571433</c:v>
                </c:pt>
                <c:pt idx="27">
                  <c:v>1000.6666666666666</c:v>
                </c:pt>
                <c:pt idx="28">
                  <c:v>888.83333333333337</c:v>
                </c:pt>
                <c:pt idx="29">
                  <c:v>1114.4545454545455</c:v>
                </c:pt>
                <c:pt idx="30">
                  <c:v>1352.3333333333333</c:v>
                </c:pt>
                <c:pt idx="31">
                  <c:v>684.16666666666663</c:v>
                </c:pt>
                <c:pt idx="32">
                  <c:v>1261.75</c:v>
                </c:pt>
                <c:pt idx="33">
                  <c:v>893.58333333333337</c:v>
                </c:pt>
                <c:pt idx="34">
                  <c:v>1046.1666666666667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49-4645-9AC5-E9D2F90BA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2976072"/>
        <c:axId val="1332977384"/>
      </c:barChart>
      <c:catAx>
        <c:axId val="1332976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77384"/>
        <c:crosses val="autoZero"/>
        <c:auto val="1"/>
        <c:lblAlgn val="ctr"/>
        <c:lblOffset val="100"/>
        <c:noMultiLvlLbl val="0"/>
      </c:catAx>
      <c:valAx>
        <c:axId val="133297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7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[dailyACtivity_SleepDay_merged3-5-2026.xlsx]Discriptive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Daily Activity Metrics by Month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'Discriptive Analysis'!$B$44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'Discriptive Analysis'!$A$45:$A$47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Analysis'!$B$45:$B$47</c:f>
              <c:numCache>
                <c:formatCode>General</c:formatCode>
                <c:ptCount val="2"/>
                <c:pt idx="0">
                  <c:v>5001.2432432432433</c:v>
                </c:pt>
                <c:pt idx="1">
                  <c:v>6845.1357702349869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1-4F6F-B217-7ACF0EFFB40B}"/>
            </c:ext>
          </c:extLst>
        </c:ser>
        <c:ser>
          <c:idx val="1"/>
          <c:order val="1"/>
          <c:tx>
            <c:strRef>
              <c:f>'Discriptive Analysis'!$C$44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'Discriptive Analysis'!$A$45:$A$47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Analysis'!$C$45:$C$47</c:f>
              <c:numCache>
                <c:formatCode>General</c:formatCode>
                <c:ptCount val="2"/>
                <c:pt idx="0">
                  <c:v>1162.2297297297298</c:v>
                </c:pt>
                <c:pt idx="1">
                  <c:v>963.02610966057443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1-4F6F-B217-7ACF0EFFB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118976"/>
        <c:axId val="1456120944"/>
      </c:barChart>
      <c:catAx>
        <c:axId val="145611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120944"/>
        <c:crosses val="autoZero"/>
        <c:auto val="1"/>
        <c:lblAlgn val="ctr"/>
        <c:lblOffset val="100"/>
        <c:noMultiLvlLbl val="0"/>
      </c:catAx>
      <c:valAx>
        <c:axId val="14561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11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[dailyACtivity_SleepDay_merged3-5-2026.xlsx]Discriptive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Activity Intensity Breakdown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'Discriptive Analysis'!$B$52</c:f>
              <c:strCache>
                <c:ptCount val="1"/>
                <c:pt idx="0">
                  <c:v>Average of VeryActiveMinutes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'Discriptive Analysis'!$A$53:$A$55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Analysis'!$B$53:$B$55</c:f>
              <c:numCache>
                <c:formatCode>General</c:formatCode>
                <c:ptCount val="2"/>
                <c:pt idx="0">
                  <c:v>7.2297297297297298</c:v>
                </c:pt>
                <c:pt idx="1">
                  <c:v>18.43864229765013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9-4528-9BE7-7D7AB8402F6B}"/>
            </c:ext>
          </c:extLst>
        </c:ser>
        <c:ser>
          <c:idx val="1"/>
          <c:order val="1"/>
          <c:tx>
            <c:strRef>
              <c:f>'Discriptive Analysis'!$C$52</c:f>
              <c:strCache>
                <c:ptCount val="1"/>
                <c:pt idx="0">
                  <c:v>Average of LightlyActiveMinutes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'Discriptive Analysis'!$A$53:$A$55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Analysis'!$C$53:$C$55</c:f>
              <c:numCache>
                <c:formatCode>General</c:formatCode>
                <c:ptCount val="2"/>
                <c:pt idx="0">
                  <c:v>113.58108108108108</c:v>
                </c:pt>
                <c:pt idx="1">
                  <c:v>180.98433420365535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9-4528-9BE7-7D7AB8402F6B}"/>
            </c:ext>
          </c:extLst>
        </c:ser>
        <c:ser>
          <c:idx val="2"/>
          <c:order val="2"/>
          <c:tx>
            <c:strRef>
              <c:f>'Discriptive Analysis'!$D$52</c:f>
              <c:strCache>
                <c:ptCount val="1"/>
                <c:pt idx="0">
                  <c:v>Average of FairlyActiveMinutes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'Discriptive Analysis'!$A$53:$A$55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Analysis'!$D$53:$D$55</c:f>
              <c:numCache>
                <c:formatCode>General</c:formatCode>
                <c:ptCount val="2"/>
                <c:pt idx="0">
                  <c:v>6.9189189189189193</c:v>
                </c:pt>
                <c:pt idx="1">
                  <c:v>14.258485639686684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9-4528-9BE7-7D7AB8402F6B}"/>
            </c:ext>
          </c:extLst>
        </c:ser>
        <c:ser>
          <c:idx val="3"/>
          <c:order val="3"/>
          <c:tx>
            <c:strRef>
              <c:f>'Discriptive Analysis'!$E$52</c:f>
              <c:strCache>
                <c:ptCount val="1"/>
                <c:pt idx="0">
                  <c:v>Average of SedentaryMinutes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'Discriptive Analysis'!$A$53:$A$55</c:f>
              <c:strCache>
                <c:ptCount val="2"/>
                <c:pt idx="0">
                  <c:v>Mar</c:v>
                </c:pt>
                <c:pt idx="1">
                  <c:v>Apr</c:v>
                </c:pt>
              </c:strCache>
            </c:strRef>
          </c:cat>
          <c:val>
            <c:numRef>
              <c:f>'Discriptive Analysis'!$E$53:$E$55</c:f>
              <c:numCache>
                <c:formatCode>General</c:formatCode>
                <c:ptCount val="2"/>
                <c:pt idx="0">
                  <c:v>1162.2297297297298</c:v>
                </c:pt>
                <c:pt idx="1">
                  <c:v>963.02610966057443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C9-4528-9BE7-7D7AB8402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9410952"/>
        <c:axId val="1469416200"/>
      </c:barChart>
      <c:catAx>
        <c:axId val="1469410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16200"/>
        <c:crosses val="autoZero"/>
        <c:auto val="1"/>
        <c:lblAlgn val="ctr"/>
        <c:lblOffset val="100"/>
        <c:noMultiLvlLbl val="0"/>
      </c:catAx>
      <c:valAx>
        <c:axId val="146941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</a:t>
                </a:r>
                <a:r>
                  <a:rPr lang="en-US" baseline="0"/>
                  <a:t>e (Min)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1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66681180212517"/>
          <c:y val="0.33471551899938817"/>
          <c:w val="0.33333318819787477"/>
          <c:h val="0.46381118711347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[dailyACtivity_SleepDay_merged3-5-2026.xlsx]Discriptive Analysis!PivotTable12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Sleep Duration and Effiency Analysis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'Discriptive Analysis'!$B$62</c:f>
              <c:strCache>
                <c:ptCount val="1"/>
                <c:pt idx="0">
                  <c:v>Average of TotalMinutesAsleep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'Discriptive Analysis'!$A$63:$A$87</c:f>
              <c:strCache>
                <c:ptCount val="24"/>
                <c:pt idx="0">
                  <c:v>1503960366</c:v>
                </c:pt>
                <c:pt idx="1">
                  <c:v>1644430081</c:v>
                </c:pt>
                <c:pt idx="2">
                  <c:v>1844505072</c:v>
                </c:pt>
                <c:pt idx="3">
                  <c:v>1927972279</c:v>
                </c:pt>
                <c:pt idx="4">
                  <c:v>2026352035</c:v>
                </c:pt>
                <c:pt idx="5">
                  <c:v>2320127002</c:v>
                </c:pt>
                <c:pt idx="6">
                  <c:v>2347167796</c:v>
                </c:pt>
                <c:pt idx="7">
                  <c:v>3977333714</c:v>
                </c:pt>
                <c:pt idx="8">
                  <c:v>4020332650</c:v>
                </c:pt>
                <c:pt idx="9">
                  <c:v>4319703577</c:v>
                </c:pt>
                <c:pt idx="10">
                  <c:v>4388161847</c:v>
                </c:pt>
                <c:pt idx="11">
                  <c:v>4445114986</c:v>
                </c:pt>
                <c:pt idx="12">
                  <c:v>4558609924</c:v>
                </c:pt>
                <c:pt idx="13">
                  <c:v>4702921684</c:v>
                </c:pt>
                <c:pt idx="14">
                  <c:v>5553957443</c:v>
                </c:pt>
                <c:pt idx="15">
                  <c:v>5577150313</c:v>
                </c:pt>
                <c:pt idx="16">
                  <c:v>6117666160</c:v>
                </c:pt>
                <c:pt idx="17">
                  <c:v>6775888955</c:v>
                </c:pt>
                <c:pt idx="18">
                  <c:v>6962181067</c:v>
                </c:pt>
                <c:pt idx="19">
                  <c:v>7007744171</c:v>
                </c:pt>
                <c:pt idx="20">
                  <c:v>7086361926</c:v>
                </c:pt>
                <c:pt idx="21">
                  <c:v>8053475328</c:v>
                </c:pt>
                <c:pt idx="22">
                  <c:v>8378563200</c:v>
                </c:pt>
                <c:pt idx="23">
                  <c:v>8792009665</c:v>
                </c:pt>
              </c:strCache>
            </c:strRef>
          </c:cat>
          <c:val>
            <c:numRef>
              <c:f>'Discriptive Analysis'!$B$63:$B$87</c:f>
              <c:numCache>
                <c:formatCode>General</c:formatCode>
                <c:ptCount val="24"/>
                <c:pt idx="0">
                  <c:v>360.28</c:v>
                </c:pt>
                <c:pt idx="1">
                  <c:v>294</c:v>
                </c:pt>
                <c:pt idx="2">
                  <c:v>652</c:v>
                </c:pt>
                <c:pt idx="3">
                  <c:v>417</c:v>
                </c:pt>
                <c:pt idx="4">
                  <c:v>506.17857142857144</c:v>
                </c:pt>
                <c:pt idx="5">
                  <c:v>61</c:v>
                </c:pt>
                <c:pt idx="6">
                  <c:v>446.8</c:v>
                </c:pt>
                <c:pt idx="7">
                  <c:v>293.64285714285717</c:v>
                </c:pt>
                <c:pt idx="8">
                  <c:v>349.375</c:v>
                </c:pt>
                <c:pt idx="9">
                  <c:v>476.65384615384613</c:v>
                </c:pt>
                <c:pt idx="10">
                  <c:v>400.17391304347825</c:v>
                </c:pt>
                <c:pt idx="11">
                  <c:v>385.17857142857144</c:v>
                </c:pt>
                <c:pt idx="12">
                  <c:v>127.6</c:v>
                </c:pt>
                <c:pt idx="13">
                  <c:v>417.48148148148147</c:v>
                </c:pt>
                <c:pt idx="14">
                  <c:v>463.48387096774195</c:v>
                </c:pt>
                <c:pt idx="15">
                  <c:v>432</c:v>
                </c:pt>
                <c:pt idx="16">
                  <c:v>478.77777777777777</c:v>
                </c:pt>
                <c:pt idx="17">
                  <c:v>349.66666666666669</c:v>
                </c:pt>
                <c:pt idx="18">
                  <c:v>448</c:v>
                </c:pt>
                <c:pt idx="19">
                  <c:v>68.5</c:v>
                </c:pt>
                <c:pt idx="20">
                  <c:v>453.125</c:v>
                </c:pt>
                <c:pt idx="21">
                  <c:v>297</c:v>
                </c:pt>
                <c:pt idx="22">
                  <c:v>445.12903225806451</c:v>
                </c:pt>
                <c:pt idx="23">
                  <c:v>435.66666666666669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4-41EE-B72C-EC234C78ABFE}"/>
            </c:ext>
          </c:extLst>
        </c:ser>
        <c:ser>
          <c:idx val="1"/>
          <c:order val="1"/>
          <c:tx>
            <c:strRef>
              <c:f>'Discriptive Analysis'!$C$62</c:f>
              <c:strCache>
                <c:ptCount val="1"/>
                <c:pt idx="0">
                  <c:v>Average of TotalTimeInBed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'Discriptive Analysis'!$A$63:$A$87</c:f>
              <c:strCache>
                <c:ptCount val="24"/>
                <c:pt idx="0">
                  <c:v>1503960366</c:v>
                </c:pt>
                <c:pt idx="1">
                  <c:v>1644430081</c:v>
                </c:pt>
                <c:pt idx="2">
                  <c:v>1844505072</c:v>
                </c:pt>
                <c:pt idx="3">
                  <c:v>1927972279</c:v>
                </c:pt>
                <c:pt idx="4">
                  <c:v>2026352035</c:v>
                </c:pt>
                <c:pt idx="5">
                  <c:v>2320127002</c:v>
                </c:pt>
                <c:pt idx="6">
                  <c:v>2347167796</c:v>
                </c:pt>
                <c:pt idx="7">
                  <c:v>3977333714</c:v>
                </c:pt>
                <c:pt idx="8">
                  <c:v>4020332650</c:v>
                </c:pt>
                <c:pt idx="9">
                  <c:v>4319703577</c:v>
                </c:pt>
                <c:pt idx="10">
                  <c:v>4388161847</c:v>
                </c:pt>
                <c:pt idx="11">
                  <c:v>4445114986</c:v>
                </c:pt>
                <c:pt idx="12">
                  <c:v>4558609924</c:v>
                </c:pt>
                <c:pt idx="13">
                  <c:v>4702921684</c:v>
                </c:pt>
                <c:pt idx="14">
                  <c:v>5553957443</c:v>
                </c:pt>
                <c:pt idx="15">
                  <c:v>5577150313</c:v>
                </c:pt>
                <c:pt idx="16">
                  <c:v>6117666160</c:v>
                </c:pt>
                <c:pt idx="17">
                  <c:v>6775888955</c:v>
                </c:pt>
                <c:pt idx="18">
                  <c:v>6962181067</c:v>
                </c:pt>
                <c:pt idx="19">
                  <c:v>7007744171</c:v>
                </c:pt>
                <c:pt idx="20">
                  <c:v>7086361926</c:v>
                </c:pt>
                <c:pt idx="21">
                  <c:v>8053475328</c:v>
                </c:pt>
                <c:pt idx="22">
                  <c:v>8378563200</c:v>
                </c:pt>
                <c:pt idx="23">
                  <c:v>8792009665</c:v>
                </c:pt>
              </c:strCache>
            </c:strRef>
          </c:cat>
          <c:val>
            <c:numRef>
              <c:f>'Discriptive Analysis'!$C$63:$C$87</c:f>
              <c:numCache>
                <c:formatCode>General</c:formatCode>
                <c:ptCount val="24"/>
                <c:pt idx="0">
                  <c:v>383.2</c:v>
                </c:pt>
                <c:pt idx="1">
                  <c:v>346</c:v>
                </c:pt>
                <c:pt idx="2">
                  <c:v>961</c:v>
                </c:pt>
                <c:pt idx="3">
                  <c:v>437.8</c:v>
                </c:pt>
                <c:pt idx="4">
                  <c:v>537.64285714285711</c:v>
                </c:pt>
                <c:pt idx="5">
                  <c:v>69</c:v>
                </c:pt>
                <c:pt idx="6">
                  <c:v>491.33333333333331</c:v>
                </c:pt>
                <c:pt idx="7">
                  <c:v>461.14285714285717</c:v>
                </c:pt>
                <c:pt idx="8">
                  <c:v>379.75</c:v>
                </c:pt>
                <c:pt idx="9">
                  <c:v>501.96153846153845</c:v>
                </c:pt>
                <c:pt idx="10">
                  <c:v>423.21739130434781</c:v>
                </c:pt>
                <c:pt idx="11">
                  <c:v>416.82142857142856</c:v>
                </c:pt>
                <c:pt idx="12">
                  <c:v>140</c:v>
                </c:pt>
                <c:pt idx="13">
                  <c:v>438.22222222222223</c:v>
                </c:pt>
                <c:pt idx="14">
                  <c:v>505.87096774193549</c:v>
                </c:pt>
                <c:pt idx="15">
                  <c:v>460.61538461538464</c:v>
                </c:pt>
                <c:pt idx="16">
                  <c:v>510.16666666666669</c:v>
                </c:pt>
                <c:pt idx="17">
                  <c:v>369</c:v>
                </c:pt>
                <c:pt idx="18">
                  <c:v>466.12903225806451</c:v>
                </c:pt>
                <c:pt idx="19">
                  <c:v>71.5</c:v>
                </c:pt>
                <c:pt idx="20">
                  <c:v>466.41666666666669</c:v>
                </c:pt>
                <c:pt idx="21">
                  <c:v>301.66666666666669</c:v>
                </c:pt>
                <c:pt idx="22">
                  <c:v>485.93548387096774</c:v>
                </c:pt>
                <c:pt idx="23">
                  <c:v>453.8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04-41EE-B72C-EC234C78A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086760"/>
        <c:axId val="1330085448"/>
      </c:barChart>
      <c:catAx>
        <c:axId val="1330086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User ID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85448"/>
        <c:crosses val="autoZero"/>
        <c:auto val="1"/>
        <c:lblAlgn val="ctr"/>
        <c:lblOffset val="100"/>
        <c:noMultiLvlLbl val="0"/>
      </c:catAx>
      <c:valAx>
        <c:axId val="133008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8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Activity Vs Sleep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'Discriptive Analysis'!$F$93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'Discriptive Analysis'!$E$94:$E$118</c:f>
              <c:numCache>
                <c:formatCode>General</c:formatCode>
                <c:ptCount val="25"/>
                <c:pt idx="0">
                  <c:v>360.28</c:v>
                </c:pt>
                <c:pt idx="1">
                  <c:v>294</c:v>
                </c:pt>
                <c:pt idx="2">
                  <c:v>652</c:v>
                </c:pt>
                <c:pt idx="3">
                  <c:v>417</c:v>
                </c:pt>
                <c:pt idx="4">
                  <c:v>506.17857142857144</c:v>
                </c:pt>
                <c:pt idx="5">
                  <c:v>61</c:v>
                </c:pt>
                <c:pt idx="6">
                  <c:v>446.8</c:v>
                </c:pt>
                <c:pt idx="7">
                  <c:v>293.64285714285717</c:v>
                </c:pt>
                <c:pt idx="8">
                  <c:v>349.375</c:v>
                </c:pt>
                <c:pt idx="9">
                  <c:v>476.65384615384613</c:v>
                </c:pt>
                <c:pt idx="10">
                  <c:v>400.17391304347825</c:v>
                </c:pt>
                <c:pt idx="11">
                  <c:v>385.17857142857144</c:v>
                </c:pt>
                <c:pt idx="12">
                  <c:v>127.6</c:v>
                </c:pt>
                <c:pt idx="13">
                  <c:v>417.48148148148147</c:v>
                </c:pt>
                <c:pt idx="14">
                  <c:v>463.48387096774195</c:v>
                </c:pt>
                <c:pt idx="15">
                  <c:v>432</c:v>
                </c:pt>
                <c:pt idx="16">
                  <c:v>478.77777777777777</c:v>
                </c:pt>
                <c:pt idx="17">
                  <c:v>349.66666666666669</c:v>
                </c:pt>
                <c:pt idx="18">
                  <c:v>448</c:v>
                </c:pt>
                <c:pt idx="19">
                  <c:v>68.5</c:v>
                </c:pt>
                <c:pt idx="20">
                  <c:v>453.125</c:v>
                </c:pt>
                <c:pt idx="21">
                  <c:v>297</c:v>
                </c:pt>
                <c:pt idx="22">
                  <c:v>445.12903225806451</c:v>
                </c:pt>
                <c:pt idx="23">
                  <c:v>435.66666666666669</c:v>
                </c:pt>
              </c:numCache>
            </c:numRef>
          </c:xVal>
          <c:yVal>
            <c:numRef>
              <c:f>'Discriptive Analysis'!$F$94:$F$118</c:f>
              <c:numCache>
                <c:formatCode>General</c:formatCode>
                <c:ptCount val="25"/>
                <c:pt idx="0">
                  <c:v>11640.526315789473</c:v>
                </c:pt>
                <c:pt idx="1">
                  <c:v>9274.7999999999993</c:v>
                </c:pt>
                <c:pt idx="2">
                  <c:v>3640.5833333333335</c:v>
                </c:pt>
                <c:pt idx="3">
                  <c:v>2180.8333333333335</c:v>
                </c:pt>
                <c:pt idx="4">
                  <c:v>3392.75</c:v>
                </c:pt>
                <c:pt idx="5">
                  <c:v>3138.4166666666665</c:v>
                </c:pt>
                <c:pt idx="6">
                  <c:v>9800.0666666666675</c:v>
                </c:pt>
                <c:pt idx="7">
                  <c:v>8663.9166666666661</c:v>
                </c:pt>
                <c:pt idx="8">
                  <c:v>5776.59375</c:v>
                </c:pt>
                <c:pt idx="9">
                  <c:v>7820.583333333333</c:v>
                </c:pt>
                <c:pt idx="10">
                  <c:v>0</c:v>
                </c:pt>
                <c:pt idx="11">
                  <c:v>4293.0666666666666</c:v>
                </c:pt>
                <c:pt idx="12">
                  <c:v>5785.25</c:v>
                </c:pt>
                <c:pt idx="13">
                  <c:v>7943.4</c:v>
                </c:pt>
                <c:pt idx="14">
                  <c:v>8354.75</c:v>
                </c:pt>
                <c:pt idx="15">
                  <c:v>8608.181818181818</c:v>
                </c:pt>
                <c:pt idx="16">
                  <c:v>8248.6</c:v>
                </c:pt>
                <c:pt idx="17">
                  <c:v>5559</c:v>
                </c:pt>
                <c:pt idx="18">
                  <c:v>12639.714285714286</c:v>
                </c:pt>
                <c:pt idx="19">
                  <c:v>12260.333333333334</c:v>
                </c:pt>
                <c:pt idx="20">
                  <c:v>6103.916666666667</c:v>
                </c:pt>
                <c:pt idx="21">
                  <c:v>14844.363636363636</c:v>
                </c:pt>
                <c:pt idx="22">
                  <c:v>8135.25</c:v>
                </c:pt>
                <c:pt idx="23">
                  <c:v>3094.9166666666665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E3-4B3C-A539-946A573F8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249360"/>
        <c:axId val="810255592"/>
      </c:scatterChart>
      <c:valAx>
        <c:axId val="8102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55592"/>
        <c:crosses val="autoZero"/>
        <c:crossBetween val="midCat"/>
      </c:valAx>
      <c:valAx>
        <c:axId val="81025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24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Calories VS activity per user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'Discriptive Analysis'!$D$124:$D$159</c:f>
              <c:numCache>
                <c:formatCode>General</c:formatCode>
                <c:ptCount val="36"/>
                <c:pt idx="0">
                  <c:v>11640.526315789473</c:v>
                </c:pt>
                <c:pt idx="1">
                  <c:v>4226.2631578947367</c:v>
                </c:pt>
                <c:pt idx="2">
                  <c:v>9274.7999999999993</c:v>
                </c:pt>
                <c:pt idx="3">
                  <c:v>3640.5833333333335</c:v>
                </c:pt>
                <c:pt idx="4">
                  <c:v>2180.8333333333335</c:v>
                </c:pt>
                <c:pt idx="5">
                  <c:v>12174.916666666666</c:v>
                </c:pt>
                <c:pt idx="6">
                  <c:v>3392.75</c:v>
                </c:pt>
                <c:pt idx="7">
                  <c:v>3138.4166666666665</c:v>
                </c:pt>
                <c:pt idx="8">
                  <c:v>9800.0666666666675</c:v>
                </c:pt>
                <c:pt idx="9">
                  <c:v>6636.583333333333</c:v>
                </c:pt>
                <c:pt idx="10">
                  <c:v>773.625</c:v>
                </c:pt>
                <c:pt idx="11">
                  <c:v>6127.5</c:v>
                </c:pt>
                <c:pt idx="12">
                  <c:v>8663.9166666666661</c:v>
                </c:pt>
                <c:pt idx="13">
                  <c:v>5776.59375</c:v>
                </c:pt>
                <c:pt idx="14">
                  <c:v>1887.21875</c:v>
                </c:pt>
                <c:pt idx="15">
                  <c:v>7820.583333333333</c:v>
                </c:pt>
                <c:pt idx="16">
                  <c:v>0</c:v>
                </c:pt>
                <c:pt idx="17">
                  <c:v>4293.0666666666666</c:v>
                </c:pt>
                <c:pt idx="18">
                  <c:v>5785.25</c:v>
                </c:pt>
                <c:pt idx="19">
                  <c:v>7943.4</c:v>
                </c:pt>
                <c:pt idx="20">
                  <c:v>8354.75</c:v>
                </c:pt>
                <c:pt idx="21">
                  <c:v>8608.181818181818</c:v>
                </c:pt>
                <c:pt idx="22">
                  <c:v>8248.6</c:v>
                </c:pt>
                <c:pt idx="23">
                  <c:v>1618.1</c:v>
                </c:pt>
                <c:pt idx="24">
                  <c:v>1336.8888888888889</c:v>
                </c:pt>
                <c:pt idx="25">
                  <c:v>5559</c:v>
                </c:pt>
                <c:pt idx="26">
                  <c:v>12639.714285714286</c:v>
                </c:pt>
                <c:pt idx="27">
                  <c:v>12260.333333333334</c:v>
                </c:pt>
                <c:pt idx="28">
                  <c:v>6103.916666666667</c:v>
                </c:pt>
                <c:pt idx="29">
                  <c:v>14844.363636363636</c:v>
                </c:pt>
                <c:pt idx="30">
                  <c:v>2389.9166666666665</c:v>
                </c:pt>
                <c:pt idx="31">
                  <c:v>8135.25</c:v>
                </c:pt>
                <c:pt idx="32">
                  <c:v>3045.5</c:v>
                </c:pt>
                <c:pt idx="33">
                  <c:v>3094.9166666666665</c:v>
                </c:pt>
                <c:pt idx="34">
                  <c:v>17417.083333333332</c:v>
                </c:pt>
                <c:pt idx="35">
                  <c:v>6546.5623632385123</c:v>
                </c:pt>
              </c:numCache>
            </c:numRef>
          </c:xVal>
          <c:yVal>
            <c:numRef>
              <c:f>'Discriptive Analysis'!$E$124:$E$159</c:f>
              <c:numCache>
                <c:formatCode>General</c:formatCode>
                <c:ptCount val="36"/>
                <c:pt idx="0">
                  <c:v>1796.2105263157894</c:v>
                </c:pt>
                <c:pt idx="1">
                  <c:v>1352.8947368421052</c:v>
                </c:pt>
                <c:pt idx="2">
                  <c:v>2916.4</c:v>
                </c:pt>
                <c:pt idx="3">
                  <c:v>1615.9166666666667</c:v>
                </c:pt>
                <c:pt idx="4">
                  <c:v>2254</c:v>
                </c:pt>
                <c:pt idx="5">
                  <c:v>2475.3333333333335</c:v>
                </c:pt>
                <c:pt idx="6">
                  <c:v>1355.5</c:v>
                </c:pt>
                <c:pt idx="7">
                  <c:v>1532.0833333333333</c:v>
                </c:pt>
                <c:pt idx="8">
                  <c:v>2021.3333333333333</c:v>
                </c:pt>
                <c:pt idx="9">
                  <c:v>1695.75</c:v>
                </c:pt>
                <c:pt idx="10">
                  <c:v>2273.375</c:v>
                </c:pt>
                <c:pt idx="11">
                  <c:v>1860.3</c:v>
                </c:pt>
                <c:pt idx="12">
                  <c:v>1398.0833333333333</c:v>
                </c:pt>
                <c:pt idx="13">
                  <c:v>3075.375</c:v>
                </c:pt>
                <c:pt idx="14">
                  <c:v>1903.53125</c:v>
                </c:pt>
                <c:pt idx="15">
                  <c:v>1994.25</c:v>
                </c:pt>
                <c:pt idx="16">
                  <c:v>1805.25</c:v>
                </c:pt>
                <c:pt idx="17">
                  <c:v>2107.8000000000002</c:v>
                </c:pt>
                <c:pt idx="18">
                  <c:v>1830.1666666666667</c:v>
                </c:pt>
                <c:pt idx="19">
                  <c:v>2821.4666666666667</c:v>
                </c:pt>
                <c:pt idx="20">
                  <c:v>1802.5</c:v>
                </c:pt>
                <c:pt idx="21">
                  <c:v>3300.2727272727275</c:v>
                </c:pt>
                <c:pt idx="22">
                  <c:v>2099.3000000000002</c:v>
                </c:pt>
                <c:pt idx="23">
                  <c:v>2165.6</c:v>
                </c:pt>
                <c:pt idx="24">
                  <c:v>1763.1111111111111</c:v>
                </c:pt>
                <c:pt idx="25">
                  <c:v>2724.7777777777778</c:v>
                </c:pt>
                <c:pt idx="26">
                  <c:v>2089.2142857142858</c:v>
                </c:pt>
                <c:pt idx="27">
                  <c:v>2627.0833333333335</c:v>
                </c:pt>
                <c:pt idx="28">
                  <c:v>2177</c:v>
                </c:pt>
                <c:pt idx="29">
                  <c:v>2893.181818181818</c:v>
                </c:pt>
                <c:pt idx="30">
                  <c:v>1463</c:v>
                </c:pt>
                <c:pt idx="31">
                  <c:v>3356.1666666666665</c:v>
                </c:pt>
                <c:pt idx="32">
                  <c:v>2391.25</c:v>
                </c:pt>
                <c:pt idx="33">
                  <c:v>2073.6666666666665</c:v>
                </c:pt>
                <c:pt idx="34">
                  <c:v>3451.1666666666665</c:v>
                </c:pt>
                <c:pt idx="35">
                  <c:v>2189.4529540481399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D4-4DB0-A3E8-5E6712734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614888"/>
        <c:axId val="776619152"/>
      </c:scatterChart>
      <c:valAx>
        <c:axId val="77661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Average of TotalSteps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19152"/>
        <c:crosses val="autoZero"/>
        <c:crossBetween val="midCat"/>
      </c:valAx>
      <c:valAx>
        <c:axId val="77661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Average of Calories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14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[dailyACtivity_SleepDay_merged3-5-2026.xlsx]Discriptive Analysis!PivotTable17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Activity by day of week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'Discriptive Analysis'!$B$164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'Discriptive Analysis'!$A$165:$A$172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'Discriptive Analysis'!$B$165:$B$172</c:f>
              <c:numCache>
                <c:formatCode>General</c:formatCode>
                <c:ptCount val="7"/>
                <c:pt idx="0">
                  <c:v>6058.0138888888887</c:v>
                </c:pt>
                <c:pt idx="1">
                  <c:v>7118.588235294118</c:v>
                </c:pt>
                <c:pt idx="2">
                  <c:v>4914.9178082191784</c:v>
                </c:pt>
                <c:pt idx="3">
                  <c:v>7510.708333333333</c:v>
                </c:pt>
                <c:pt idx="4">
                  <c:v>6847.083333333333</c:v>
                </c:pt>
                <c:pt idx="5">
                  <c:v>6737.5616438356165</c:v>
                </c:pt>
                <c:pt idx="6">
                  <c:v>7089.7733333333335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4-428B-9DEB-B2EA9FF94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620792"/>
        <c:axId val="776624728"/>
      </c:barChart>
      <c:catAx>
        <c:axId val="776620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Week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24728"/>
        <c:crosses val="autoZero"/>
        <c:auto val="1"/>
        <c:lblAlgn val="ctr"/>
        <c:lblOffset val="100"/>
        <c:noMultiLvlLbl val="0"/>
      </c:catAx>
      <c:valAx>
        <c:axId val="77662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Total Steps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2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1238464</xdr:colOff>
      <xdr:row>0</xdr:row>
      <xdr:rowOff>0</xdr:rowOff>
    </xdr:from>
    <xdr:to>
      <xdr:col>13</xdr:col>
      <xdr:colOff>239205</xdr:colOff>
      <xdr:row>35</xdr:row>
      <xdr:rowOff>24502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1121171</xdr:colOff>
      <xdr:row>36</xdr:row>
      <xdr:rowOff>75554</xdr:rowOff>
    </xdr:from>
    <xdr:to>
      <xdr:col>6</xdr:col>
      <xdr:colOff>277813</xdr:colOff>
      <xdr:row>49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313531</xdr:colOff>
      <xdr:row>49</xdr:row>
      <xdr:rowOff>52189</xdr:rowOff>
    </xdr:from>
    <xdr:to>
      <xdr:col>9</xdr:col>
      <xdr:colOff>311546</xdr:colOff>
      <xdr:row>63</xdr:row>
      <xdr:rowOff>156170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323937</xdr:colOff>
      <xdr:row>65</xdr:row>
      <xdr:rowOff>142695</xdr:rowOff>
    </xdr:from>
    <xdr:to>
      <xdr:col>8</xdr:col>
      <xdr:colOff>154394</xdr:colOff>
      <xdr:row>82</xdr:row>
      <xdr:rowOff>120272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101231</xdr:colOff>
      <xdr:row>91</xdr:row>
      <xdr:rowOff>53654</xdr:rowOff>
    </xdr:from>
    <xdr:to>
      <xdr:col>8</xdr:col>
      <xdr:colOff>30975</xdr:colOff>
      <xdr:row>120</xdr:row>
      <xdr:rowOff>69142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44914</xdr:colOff>
      <xdr:row>121</xdr:row>
      <xdr:rowOff>138460</xdr:rowOff>
    </xdr:from>
    <xdr:to>
      <xdr:col>8</xdr:col>
      <xdr:colOff>681463</xdr:colOff>
      <xdr:row>160</xdr:row>
      <xdr:rowOff>46462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133195</xdr:colOff>
      <xdr:row>160</xdr:row>
      <xdr:rowOff>90449</xdr:rowOff>
    </xdr:from>
    <xdr:to>
      <xdr:col>8</xdr:col>
      <xdr:colOff>402166</xdr:colOff>
      <xdr:row>182</xdr:row>
      <xdr:rowOff>105833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leepDay_merge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erryG" refreshedDate="46086.802956250001" createdVersion="6" refreshedVersion="6" minRefreshableVersion="3" recordCount="458">
  <cacheSource type="worksheet">
    <worksheetSource ref="A1:T1048576" sheet="Merge"/>
  </cacheSource>
  <cacheFields count="21">
    <cacheField name="Id" numFmtId="0">
      <sharedItems containsString="0" containsBlank="1" containsNumber="1" containsInteger="1" minValue="1503960366" maxValue="8877689391" count="36">
        <n v="1503960366"/>
        <n v="1624580081"/>
        <n v="1927972279"/>
        <n v="2026352035"/>
        <n v="1644430081"/>
        <n v="1844505072"/>
        <n v="2022484408"/>
        <n v="3977333714"/>
        <n v="2320127002"/>
        <n v="2347167796"/>
        <n v="4020332650"/>
        <n v="2873212765"/>
        <n v="2891001357"/>
        <n v="3372868164"/>
        <n v="4445114986"/>
        <n v="4057192912"/>
        <n v="4702921684"/>
        <n v="5553957443"/>
        <n v="4319703577"/>
        <n v="4388161847"/>
        <n v="4558609924"/>
        <n v="5577150313"/>
        <n v="6962181067"/>
        <n v="6117666160"/>
        <n v="6290855005"/>
        <n v="6391747486"/>
        <n v="7086361926"/>
        <n v="6775888955"/>
        <n v="7007744171"/>
        <n v="8053475328"/>
        <n v="8253242879"/>
        <n v="8378563200"/>
        <n v="8583815059"/>
        <n v="8792009665"/>
        <n v="8877689391"/>
        <m/>
      </sharedItems>
    </cacheField>
    <cacheField name="ActivityDate" numFmtId="0">
      <sharedItems containsNonDate="0" containsDate="1" containsString="0" containsBlank="1" minDate="2016-03-12T00:00:00" maxDate="2016-04-13T00:00:00" count="33">
        <d v="2016-03-25T00:00:00"/>
        <d v="2016-04-12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m/>
      </sharedItems>
      <fieldGroup par="20" base="1">
        <rangePr groupBy="days" startDate="2016-03-12T00:00:00" endDate="2016-04-13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3/2016"/>
        </groupItems>
      </fieldGroup>
    </cacheField>
    <cacheField name="TotalSteps" numFmtId="0">
      <sharedItems containsString="0" containsBlank="1" containsNumber="1" containsInteger="1" minValue="0" maxValue="28497" count="390">
        <n v="11004"/>
        <n v="224"/>
        <n v="17609"/>
        <n v="12736"/>
        <n v="13231"/>
        <n v="12041"/>
        <n v="10970"/>
        <n v="12256"/>
        <n v="12262"/>
        <n v="11248"/>
        <n v="10016"/>
        <n v="14557"/>
        <n v="14844"/>
        <n v="11974"/>
        <n v="10198"/>
        <n v="12521"/>
        <n v="12432"/>
        <n v="10057"/>
        <n v="10990"/>
        <n v="1810"/>
        <n v="815"/>
        <n v="1985"/>
        <n v="1905"/>
        <n v="1552"/>
        <n v="1675"/>
        <n v="4506"/>
        <n v="9218"/>
        <n v="1556"/>
        <n v="2910"/>
        <n v="18464"/>
        <n v="1335"/>
        <n v="1004"/>
        <n v="1111"/>
        <n v="24"/>
        <n v="6344"/>
        <n v="3572"/>
        <n v="3910"/>
        <n v="10000"/>
        <n v="6627"/>
        <n v="1019"/>
        <n v="4636"/>
        <n v="20237"/>
        <n v="12912"/>
        <n v="2819"/>
        <n v="9921"/>
        <n v="8046"/>
        <n v="11166"/>
        <n v="7842"/>
        <n v="13840"/>
        <n v="1329"/>
        <n v="6847"/>
        <n v="5367"/>
        <n v="2841"/>
        <n v="0"/>
        <n v="7"/>
        <n v="5316"/>
        <n v="4979"/>
        <n v="6556"/>
        <n v="5430"/>
        <n v="4317"/>
        <n v="5662"/>
        <n v="3198"/>
        <n v="2352"/>
        <n v="2234"/>
        <n v="1259"/>
        <n v="768"/>
        <n v="519"/>
        <n v="2523"/>
        <n v="2105"/>
        <n v="1209"/>
        <n v="13603"/>
        <n v="5477"/>
        <n v="11144"/>
        <n v="15313"/>
        <n v="10805"/>
        <n v="15392"/>
        <n v="18247"/>
        <n v="13023"/>
        <n v="16267"/>
        <n v="10005"/>
        <n v="759"/>
        <n v="10106"/>
        <n v="6717"/>
        <n v="2605"/>
        <n v="1229"/>
        <n v="2308"/>
        <n v="6679"/>
        <n v="5645"/>
        <n v="3180"/>
        <n v="2767"/>
        <n v="3762"/>
        <n v="3098"/>
        <n v="5142"/>
        <n v="3279"/>
        <n v="4931"/>
        <n v="6999"/>
        <n v="1846"/>
        <n v="3417"/>
        <n v="4863"/>
        <n v="2277"/>
        <n v="11230"/>
        <n v="2098"/>
        <n v="10272"/>
        <n v="10533"/>
        <n v="8"/>
        <n v="6760"/>
        <n v="8328"/>
        <n v="15459"/>
        <n v="7485"/>
        <n v="10254"/>
        <n v="10114"/>
        <n v="11107"/>
        <n v="10320"/>
        <n v="10209"/>
        <n v="16081"/>
        <n v="10078"/>
        <n v="10001"/>
        <n v="890"/>
        <n v="2214"/>
        <n v="7640"/>
        <n v="9713"/>
        <n v="8432"/>
        <n v="7350"/>
        <n v="9353"/>
        <n v="7157"/>
        <n v="14103"/>
        <n v="5290"/>
        <n v="7497"/>
        <n v="4126"/>
        <n v="2063"/>
        <n v="5785"/>
        <n v="7625"/>
        <n v="4706"/>
        <n v="5861"/>
        <n v="4460"/>
        <n v="6406"/>
        <n v="7392"/>
        <n v="5551"/>
        <n v="8827"/>
        <n v="4662"/>
        <n v="4499"/>
        <n v="7618"/>
        <n v="11508"/>
        <n v="11943"/>
        <n v="12303"/>
        <n v="15425"/>
        <n v="8422"/>
        <n v="10226"/>
        <n v="14583"/>
        <n v="3573"/>
        <n v="3108"/>
        <n v="5543"/>
        <n v="3226"/>
        <n v="278"/>
        <n v="3023"/>
        <n v="5906"/>
        <n v="12483"/>
        <n v="8940"/>
        <n v="368"/>
        <n v="5702"/>
        <n v="10330"/>
        <n v="8778"/>
        <n v="6662"/>
        <n v="6309"/>
        <n v="1951"/>
        <n v="5563"/>
        <n v="4370"/>
        <n v="7144"/>
        <n v="2106"/>
        <n v="4152"/>
        <n v="5400"/>
        <n v="7428"/>
        <n v="5351"/>
        <n v="4299"/>
        <n v="6107"/>
        <n v="6429"/>
        <n v="6880"/>
        <n v="7476"/>
        <n v="6581"/>
        <n v="10480"/>
        <n v="7734"/>
        <n v="5129"/>
        <n v="2993"/>
        <n v="8433"/>
        <n v="2139"/>
        <n v="949"/>
        <n v="44"/>
        <n v="2660"/>
        <n v="5561"/>
        <n v="7239"/>
        <n v="2275"/>
        <n v="5137"/>
        <n v="5419"/>
        <n v="18"/>
        <n v="4"/>
        <n v="8426"/>
        <n v="1650"/>
        <n v="3434"/>
        <n v="3436"/>
        <n v="6801"/>
        <n v="187"/>
        <n v="5643"/>
        <n v="9043"/>
        <n v="8144"/>
        <n v="9343"/>
        <n v="8405"/>
        <n v="8223"/>
        <n v="10067"/>
        <n v="8359"/>
        <n v="10946"/>
        <n v="9130"/>
        <n v="6544"/>
        <n v="2303"/>
        <n v="2600"/>
        <n v="4804"/>
        <n v="3271"/>
        <n v="5406"/>
        <n v="3146"/>
        <n v="2422"/>
        <n v="4239"/>
        <n v="6911"/>
        <n v="6667"/>
        <n v="4195"/>
        <n v="6625"/>
        <n v="5986"/>
        <n v="5336"/>
        <n v="3183"/>
        <n v="6176"/>
        <n v="8205"/>
        <n v="6799"/>
        <n v="5668"/>
        <n v="7998"/>
        <n v="5512"/>
        <n v="6263"/>
        <n v="8828"/>
        <n v="1260"/>
        <n v="6506"/>
        <n v="7583"/>
        <n v="6963"/>
        <n v="7165"/>
        <n v="10328"/>
        <n v="12116"/>
        <n v="7810"/>
        <n v="6670"/>
        <n v="7605"/>
        <n v="6585"/>
        <n v="8184"/>
        <n v="14002"/>
        <n v="11135"/>
        <n v="6499"/>
        <n v="12409"/>
        <n v="2937"/>
        <n v="1515"/>
        <n v="8921"/>
        <n v="11306"/>
        <n v="12252"/>
        <n v="15444"/>
        <n v="9938"/>
        <n v="4599"/>
        <n v="5594"/>
        <n v="11906"/>
        <n v="10461"/>
        <n v="14873"/>
        <n v="5893"/>
        <n v="9917"/>
        <n v="7401"/>
        <n v="8964"/>
        <n v="11080"/>
        <n v="4363"/>
        <n v="10494"/>
        <n v="9776"/>
        <n v="2862"/>
        <n v="7444"/>
        <n v="19658"/>
        <n v="8468"/>
        <n v="9910"/>
        <n v="4853"/>
        <n v="8955"/>
        <n v="10789"/>
        <n v="6633"/>
        <n v="9548"/>
        <n v="2101"/>
        <n v="430"/>
        <n v="9766"/>
        <n v="165"/>
        <n v="7225"/>
        <n v="1988"/>
        <n v="1577"/>
        <n v="9348"/>
        <n v="11761"/>
        <n v="13987"/>
        <n v="4131"/>
        <n v="14"/>
        <n v="15491"/>
        <n v="14097"/>
        <n v="10467"/>
        <n v="12437"/>
        <n v="12307"/>
        <n v="18952"/>
        <n v="12010"/>
        <n v="12480"/>
        <n v="13417"/>
        <n v="14400"/>
        <n v="12495"/>
        <n v="10148"/>
        <n v="12362"/>
        <n v="11680"/>
        <n v="10976"/>
        <n v="16806"/>
        <n v="15266"/>
        <n v="12084"/>
        <n v="13513"/>
        <n v="14100"/>
        <n v="12627"/>
        <n v="10345"/>
        <n v="10146"/>
        <n v="12168"/>
        <n v="7413"/>
        <n v="11463"/>
        <n v="87"/>
        <n v="1949"/>
        <n v="6101"/>
        <n v="7478"/>
        <n v="7352"/>
        <n v="14604"/>
        <n v="9634"/>
        <n v="7338"/>
        <n v="569"/>
        <n v="6242"/>
        <n v="20188"/>
        <n v="25701"/>
        <n v="17395"/>
        <n v="17167"/>
        <n v="16435"/>
        <n v="17078"/>
        <n v="11693"/>
        <n v="11159"/>
        <n v="10118"/>
        <n v="16064"/>
        <n v="290"/>
        <n v="1931"/>
        <n v="5181"/>
        <n v="12026"/>
        <n v="5360"/>
        <n v="2545"/>
        <n v="1636"/>
        <n v="14179"/>
        <n v="3358"/>
        <n v="9152"/>
        <n v="13935"/>
        <n v="12846"/>
        <n v="9124"/>
        <n v="9725"/>
        <n v="8350"/>
        <n v="2240"/>
        <n v="2631"/>
        <n v="8837"/>
        <n v="3246"/>
        <n v="2174"/>
        <n v="3494"/>
        <n v="2380"/>
        <n v="3159"/>
        <n v="6835"/>
        <n v="2816"/>
        <n v="1408"/>
        <n v="4592"/>
        <n v="8452"/>
        <n v="7238"/>
        <n v="3821"/>
        <n v="2332"/>
        <n v="2121"/>
        <n v="1291"/>
        <n v="1467"/>
        <n v="1022"/>
        <n v="4605"/>
        <n v="178"/>
        <n v="20"/>
        <n v="18700"/>
        <n v="27572"/>
        <n v="15260"/>
        <n v="20779"/>
        <n v="10695"/>
        <n v="24136"/>
        <n v="10910"/>
        <n v="23014"/>
        <n v="16470"/>
        <n v="28497"/>
        <n v="10622"/>
        <n v="2350"/>
        <m/>
      </sharedItems>
    </cacheField>
    <cacheField name="TotalDistance" numFmtId="0">
      <sharedItems containsString="0" containsBlank="1" containsNumber="1" minValue="0" maxValue="27.530000690000001"/>
    </cacheField>
    <cacheField name="TrackerDistance" numFmtId="0">
      <sharedItems containsString="0" containsBlank="1" containsNumber="1" minValue="0" maxValue="27.530000690000001"/>
    </cacheField>
    <cacheField name="LoggedActivitiesDistance" numFmtId="0">
      <sharedItems containsString="0" containsBlank="1" containsNumber="1" minValue="0" maxValue="6.7270569800000004"/>
    </cacheField>
    <cacheField name="VeryActiveDistance" numFmtId="0">
      <sharedItems containsString="0" containsBlank="1" containsNumber="1" minValue="0" maxValue="21.920000080000001"/>
    </cacheField>
    <cacheField name="ModeratelyActiveDistance" numFmtId="0">
      <sharedItems containsString="0" containsBlank="1" containsNumber="1" minValue="0" maxValue="6.4000000950000002"/>
    </cacheField>
    <cacheField name="LightActiveDistance" numFmtId="0">
      <sharedItems containsString="0" containsBlank="1" containsNumber="1" minValue="0" maxValue="12.510000229999999"/>
    </cacheField>
    <cacheField name="SedentaryActiveDistance" numFmtId="0">
      <sharedItems containsString="0" containsBlank="1" containsNumber="1" minValue="0" maxValue="0.10000000100000001"/>
    </cacheField>
    <cacheField name="VeryActiveMinutes" numFmtId="0">
      <sharedItems containsString="0" containsBlank="1" containsNumber="1" containsInteger="1" minValue="0" maxValue="202"/>
    </cacheField>
    <cacheField name="FairlyActiveMinutes" numFmtId="0">
      <sharedItems containsString="0" containsBlank="1" containsNumber="1" containsInteger="1" minValue="0" maxValue="660"/>
    </cacheField>
    <cacheField name="LightlyActiveMinutes" numFmtId="0">
      <sharedItems containsString="0" containsBlank="1" containsNumber="1" containsInteger="1" minValue="0" maxValue="720"/>
    </cacheField>
    <cacheField name="SedentaryMinutes" numFmtId="0">
      <sharedItems containsString="0" containsBlank="1" containsNumber="1" containsInteger="1" minValue="32" maxValue="1440"/>
    </cacheField>
    <cacheField name="Calories" numFmtId="0">
      <sharedItems containsString="0" containsBlank="1" containsNumber="1" containsInteger="1" minValue="0" maxValue="4562"/>
    </cacheField>
    <cacheField name="ActivityLevel" numFmtId="0">
      <sharedItems containsBlank="1" count="5">
        <s v="Active"/>
        <s v="Sedentary"/>
        <s v="Moderately Active"/>
        <s v="Lightly Active"/>
        <m/>
      </sharedItems>
    </cacheField>
    <cacheField name="sleepDay_merged.SleepDay" numFmtId="0">
      <sharedItems containsNonDate="0" containsDate="1" containsString="0" containsBlank="1" minDate="2016-04-12T00:00:00" maxDate="2016-04-13T00:00:00"/>
    </cacheField>
    <cacheField name="sleepDay_merged.TotalSleepRecords" numFmtId="0">
      <sharedItems containsString="0" containsBlank="1" containsNumber="1" containsInteger="1" minValue="1" maxValue="3"/>
    </cacheField>
    <cacheField name="sleepDay_merged.TotalMinutesAsleep" numFmtId="0">
      <sharedItems containsString="0" containsBlank="1" containsNumber="1" containsInteger="1" minValue="274" maxValue="750"/>
    </cacheField>
    <cacheField name="sleepDay_merged.TotalTimeInBed" numFmtId="0">
      <sharedItems containsString="0" containsBlank="1" containsNumber="1" containsInteger="1" minValue="346" maxValue="775"/>
    </cacheField>
    <cacheField name="Months" numFmtId="0" databaseField="0">
      <fieldGroup base="1">
        <rangePr groupBy="months" startDate="2016-03-12T00:00:00" endDate="2016-04-13T00:00:00"/>
        <groupItems count="14">
          <s v="&lt;3/12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3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erryG" refreshedDate="46086.816825578702" createdVersion="6" refreshedVersion="6" minRefreshableVersion="3" recordCount="411">
  <cacheSource type="worksheet">
    <worksheetSource ref="A1:F1048576" sheet="sleepDay_merged" r:id="rId2"/>
  </cacheSource>
  <cacheFields count="6">
    <cacheField name="Id" numFmtId="0">
      <sharedItems containsString="0" containsBlank="1" containsNumber="1" containsInteger="1" minValue="1503960366" maxValue="8792009665" count="25">
        <n v="1503960366"/>
        <n v="1644430081"/>
        <n v="1844505072"/>
        <n v="1927972279"/>
        <n v="2026352035"/>
        <n v="2320127002"/>
        <n v="2347167796"/>
        <n v="3977333714"/>
        <n v="4020332650"/>
        <n v="4319703577"/>
        <n v="4388161847"/>
        <n v="4445114986"/>
        <n v="4558609924"/>
        <n v="4702921684"/>
        <n v="5553957443"/>
        <n v="5577150313"/>
        <n v="6117666160"/>
        <n v="6775888955"/>
        <n v="6962181067"/>
        <n v="7007744171"/>
        <n v="7086361926"/>
        <n v="8053475328"/>
        <n v="8378563200"/>
        <n v="8792009665"/>
        <m/>
      </sharedItems>
    </cacheField>
    <cacheField name="SleepDay" numFmtId="14">
      <sharedItems containsNonDate="0" containsDate="1" containsString="0" containsBlank="1" minDate="2016-04-12T00:00:00" maxDate="2016-05-13T00:00:00"/>
    </cacheField>
    <cacheField name="TotalSleepRecords" numFmtId="0">
      <sharedItems containsString="0" containsBlank="1" containsNumber="1" containsInteger="1" minValue="1" maxValue="3"/>
    </cacheField>
    <cacheField name="TotalMinutesAsleep" numFmtId="0">
      <sharedItems containsString="0" containsBlank="1" containsNumber="1" containsInteger="1" minValue="58" maxValue="796" count="257">
        <n v="327"/>
        <n v="384"/>
        <n v="412"/>
        <n v="340"/>
        <n v="700"/>
        <n v="304"/>
        <n v="360"/>
        <n v="325"/>
        <n v="361"/>
        <n v="430"/>
        <n v="277"/>
        <n v="245"/>
        <n v="366"/>
        <n v="341"/>
        <n v="404"/>
        <n v="369"/>
        <n v="273"/>
        <n v="247"/>
        <n v="334"/>
        <n v="331"/>
        <n v="594"/>
        <n v="338"/>
        <n v="383"/>
        <n v="285"/>
        <n v="119"/>
        <n v="124"/>
        <n v="796"/>
        <n v="137"/>
        <n v="644"/>
        <n v="722"/>
        <n v="590"/>
        <n v="750"/>
        <n v="398"/>
        <n v="475"/>
        <n v="296"/>
        <n v="166"/>
        <n v="503"/>
        <n v="531"/>
        <n v="545"/>
        <n v="523"/>
        <n v="524"/>
        <n v="437"/>
        <n v="498"/>
        <n v="461"/>
        <n v="477"/>
        <n v="520"/>
        <n v="522"/>
        <n v="555"/>
        <n v="506"/>
        <n v="508"/>
        <n v="513"/>
        <n v="490"/>
        <n v="573"/>
        <n v="527"/>
        <n v="511"/>
        <n v="538"/>
        <n v="468"/>
        <n v="541"/>
        <n v="357"/>
        <n v="456"/>
        <n v="61"/>
        <n v="467"/>
        <n v="445"/>
        <n v="452"/>
        <n v="556"/>
        <n v="500"/>
        <n v="465"/>
        <n v="460"/>
        <n v="405"/>
        <n v="374"/>
        <n v="442"/>
        <n v="433"/>
        <n v="436"/>
        <n v="448"/>
        <n v="408"/>
        <n v="411"/>
        <n v="274"/>
        <n v="295"/>
        <n v="291"/>
        <n v="424"/>
        <n v="283"/>
        <n v="381"/>
        <n v="219"/>
        <n v="152"/>
        <n v="332"/>
        <n v="355"/>
        <n v="235"/>
        <n v="310"/>
        <n v="262"/>
        <n v="250"/>
        <n v="349"/>
        <n v="261"/>
        <n v="333"/>
        <n v="237"/>
        <n v="230"/>
        <n v="292"/>
        <n v="213"/>
        <n v="318"/>
        <n v="323"/>
        <n v="259"/>
        <n v="312"/>
        <n v="501"/>
        <n v="77"/>
        <n v="322"/>
        <n v="478"/>
        <n v="226"/>
        <n v="385"/>
        <n v="364"/>
        <n v="535"/>
        <n v="515"/>
        <n v="59"/>
        <n v="533"/>
        <n v="692"/>
        <n v="488"/>
        <n v="505"/>
        <n v="286"/>
        <n v="497"/>
        <n v="484"/>
        <n v="474"/>
        <n v="450"/>
        <n v="507"/>
        <n v="602"/>
        <n v="487"/>
        <n v="529"/>
        <n v="302"/>
        <n v="499"/>
        <n v="426"/>
        <n v="619"/>
        <n v="99"/>
        <n v="329"/>
        <n v="421"/>
        <n v="82"/>
        <n v="552"/>
        <n v="319"/>
        <n v="439"/>
        <n v="428"/>
        <n v="409"/>
        <n v="547"/>
        <n v="368"/>
        <n v="390"/>
        <n v="471"/>
        <n v="472"/>
        <n v="62"/>
        <n v="354"/>
        <n v="469"/>
        <n v="429"/>
        <n v="370"/>
        <n v="441"/>
        <n v="337"/>
        <n v="462"/>
        <n v="98"/>
        <n v="388"/>
        <n v="328"/>
        <n v="353"/>
        <n v="419"/>
        <n v="106"/>
        <n v="502"/>
        <n v="417"/>
        <n v="401"/>
        <n v="457"/>
        <n v="483"/>
        <n v="126"/>
        <n v="103"/>
        <n v="171"/>
        <n v="115"/>
        <n v="123"/>
        <n v="425"/>
        <n v="400"/>
        <n v="253"/>
        <n v="382"/>
        <n v="591"/>
        <n v="293"/>
        <n v="454"/>
        <n v="480"/>
        <n v="432"/>
        <n v="479"/>
        <n v="414"/>
        <n v="435"/>
        <n v="416"/>
        <n v="455"/>
        <n v="377"/>
        <n v="651"/>
        <n v="350"/>
        <n v="658"/>
        <n v="399"/>
        <n v="631"/>
        <n v="553"/>
        <n v="347"/>
        <n v="775"/>
        <n v="622"/>
        <n v="380"/>
        <n v="447"/>
        <n v="568"/>
        <n v="453"/>
        <n v="418"/>
        <n v="463"/>
        <n v="438"/>
        <n v="392"/>
        <n v="406"/>
        <n v="549"/>
        <n v="449"/>
        <n v="543"/>
        <n v="459"/>
        <n v="379"/>
        <n v="525"/>
        <n v="603"/>
        <n v="74"/>
        <n v="504"/>
        <n v="431"/>
        <n v="336"/>
        <n v="493"/>
        <n v="492"/>
        <n v="542"/>
        <n v="393"/>
        <n v="600"/>
        <n v="423"/>
        <n v="391"/>
        <n v="630"/>
        <n v="427"/>
        <n v="476"/>
        <n v="451"/>
        <n v="528"/>
        <n v="440"/>
        <n v="422"/>
        <n v="466"/>
        <n v="394"/>
        <n v="443"/>
        <n v="298"/>
        <n v="489"/>
        <n v="516"/>
        <n v="79"/>
        <n v="58"/>
        <n v="514"/>
        <n v="681"/>
        <n v="446"/>
        <n v="485"/>
        <n v="420"/>
        <n v="530"/>
        <n v="481"/>
        <n v="444"/>
        <n v="486"/>
        <n v="611"/>
        <n v="387"/>
        <n v="396"/>
        <n v="565"/>
        <n v="458"/>
        <n v="550"/>
        <n v="351"/>
        <n v="359"/>
        <n v="342"/>
        <n v="496"/>
        <n v="363"/>
        <n v="339"/>
        <n v="402"/>
        <n v="343"/>
        <n v="415"/>
        <m/>
      </sharedItems>
    </cacheField>
    <cacheField name="TotalTimeInBed" numFmtId="0">
      <sharedItems containsString="0" containsBlank="1" containsNumber="1" containsInteger="1" minValue="61" maxValue="961"/>
    </cacheField>
    <cacheField name="Date" numFmtId="14">
      <sharedItems containsNonDate="0" containsDate="1" containsString="0" containsBlank="1" minDate="2016-04-12T00:00:00" maxDate="2016-05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herryG" refreshedDate="46086.879934375" createdVersion="6" refreshedVersion="6" minRefreshableVersion="3" recordCount="458">
  <cacheSource type="worksheet">
    <worksheetSource ref="A1:U1048576" sheet="Merge"/>
  </cacheSource>
  <cacheFields count="22">
    <cacheField name="Id" numFmtId="0">
      <sharedItems containsString="0" containsBlank="1" containsNumber="1" containsInteger="1" minValue="1503960366" maxValue="8877689391" count="36">
        <n v="4020332650"/>
        <n v="4057192912"/>
        <n v="1503960366"/>
        <n v="1624580081"/>
        <n v="2347167796"/>
        <n v="2891001357"/>
        <n v="4319703577"/>
        <n v="4388161847"/>
        <n v="4445114986"/>
        <n v="4702921684"/>
        <n v="6962181067"/>
        <n v="1644430081"/>
        <n v="1844505072"/>
        <n v="1927972279"/>
        <n v="2022484408"/>
        <n v="2026352035"/>
        <n v="2320127002"/>
        <n v="2873212765"/>
        <n v="3372868164"/>
        <n v="3977333714"/>
        <n v="4558609924"/>
        <n v="5553957443"/>
        <n v="5577150313"/>
        <n v="6117666160"/>
        <n v="6290855005"/>
        <n v="6391747486"/>
        <n v="6775888955"/>
        <n v="7007744171"/>
        <n v="7086361926"/>
        <n v="8253242879"/>
        <n v="8378563200"/>
        <n v="8583815059"/>
        <n v="8792009665"/>
        <n v="8877689391"/>
        <n v="8053475328"/>
        <m/>
      </sharedItems>
    </cacheField>
    <cacheField name="ActivityDate" numFmtId="0">
      <sharedItems containsNonDate="0" containsDate="1" containsString="0" containsBlank="1" minDate="2016-03-12T00:00:00" maxDate="2016-04-13T00:00:00" count="33"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m/>
      </sharedItems>
      <fieldGroup par="21" base="1">
        <rangePr groupBy="days" startDate="2016-03-12T00:00:00" endDate="2016-04-13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3/2016"/>
        </groupItems>
      </fieldGroup>
    </cacheField>
    <cacheField name="TotalSteps" numFmtId="0">
      <sharedItems containsString="0" containsBlank="1" containsNumber="1" containsInteger="1" minValue="0" maxValue="28497"/>
    </cacheField>
    <cacheField name="TotalDistance" numFmtId="0">
      <sharedItems containsString="0" containsBlank="1" containsNumber="1" minValue="0" maxValue="27.530000690000001"/>
    </cacheField>
    <cacheField name="TrackerDistance" numFmtId="0">
      <sharedItems containsString="0" containsBlank="1" containsNumber="1" minValue="0" maxValue="27.530000690000001"/>
    </cacheField>
    <cacheField name="LoggedActivitiesDistance" numFmtId="0">
      <sharedItems containsString="0" containsBlank="1" containsNumber="1" minValue="0" maxValue="6.7270569800000004"/>
    </cacheField>
    <cacheField name="VeryActiveDistance" numFmtId="0">
      <sharedItems containsString="0" containsBlank="1" containsNumber="1" minValue="0" maxValue="21.920000080000001"/>
    </cacheField>
    <cacheField name="ModeratelyActiveDistance" numFmtId="0">
      <sharedItems containsString="0" containsBlank="1" containsNumber="1" minValue="0" maxValue="6.4000000950000002"/>
    </cacheField>
    <cacheField name="LightActiveDistance" numFmtId="0">
      <sharedItems containsString="0" containsBlank="1" containsNumber="1" minValue="0" maxValue="12.510000229999999"/>
    </cacheField>
    <cacheField name="SedentaryActiveDistance" numFmtId="0">
      <sharedItems containsString="0" containsBlank="1" containsNumber="1" minValue="0" maxValue="0.10000000100000001"/>
    </cacheField>
    <cacheField name="VeryActiveMinutes" numFmtId="0">
      <sharedItems containsString="0" containsBlank="1" containsNumber="1" containsInteger="1" minValue="0" maxValue="202"/>
    </cacheField>
    <cacheField name="FairlyActiveMinutes" numFmtId="0">
      <sharedItems containsString="0" containsBlank="1" containsNumber="1" containsInteger="1" minValue="0" maxValue="660"/>
    </cacheField>
    <cacheField name="LightlyActiveMinutes" numFmtId="0">
      <sharedItems containsString="0" containsBlank="1" containsNumber="1" containsInteger="1" minValue="0" maxValue="720"/>
    </cacheField>
    <cacheField name="SedentaryMinutes" numFmtId="0">
      <sharedItems containsString="0" containsBlank="1" containsNumber="1" containsInteger="1" minValue="32" maxValue="1440"/>
    </cacheField>
    <cacheField name="Calories" numFmtId="0">
      <sharedItems containsString="0" containsBlank="1" containsNumber="1" containsInteger="1" minValue="0" maxValue="4562" count="384">
        <n v="2990"/>
        <n v="1777"/>
        <n v="2480"/>
        <n v="2570"/>
        <n v="2453"/>
        <n v="3016"/>
        <n v="1776"/>
        <n v="3830"/>
        <n v="1935"/>
        <n v="3706"/>
        <n v="2024"/>
        <n v="1870"/>
        <n v="2980"/>
        <n v="3728"/>
        <n v="1782"/>
        <n v="3348"/>
        <n v="1978"/>
        <n v="3162"/>
        <n v="2296"/>
        <n v="3140"/>
        <n v="2484"/>
        <n v="1980"/>
        <n v="1787"/>
        <n v="1819"/>
        <n v="1373"/>
        <n v="3681"/>
        <n v="2154"/>
        <n v="1264"/>
        <n v="3444"/>
        <n v="1944"/>
        <n v="1350"/>
        <n v="3510"/>
        <n v="2005"/>
        <n v="1932"/>
        <n v="1342"/>
        <n v="4010"/>
        <n v="1778"/>
        <n v="1886"/>
        <n v="1300"/>
        <n v="2041"/>
        <n v="1920"/>
        <n v="2976"/>
        <n v="2293"/>
        <n v="1958"/>
        <n v="1878"/>
        <n v="2010"/>
        <n v="2886"/>
        <n v="1820"/>
        <n v="1313"/>
        <n v="2187"/>
        <n v="3418"/>
        <n v="2259"/>
        <n v="2141"/>
        <n v="2032"/>
        <n v="2915"/>
        <n v="2244"/>
        <n v="1889"/>
        <n v="1498"/>
        <n v="1929"/>
        <n v="3439"/>
        <n v="2129"/>
        <n v="2227"/>
        <n v="2895"/>
        <n v="2188"/>
        <n v="1868"/>
        <n v="1541"/>
        <n v="3323"/>
        <n v="1969"/>
        <n v="2590"/>
        <n v="2645"/>
        <n v="1407"/>
        <n v="1324"/>
        <n v="1335"/>
        <n v="4562"/>
        <n v="1852"/>
        <n v="1288"/>
        <n v="3338"/>
        <n v="2216"/>
        <n v="2133"/>
        <n v="1902"/>
        <n v="2923"/>
        <n v="2142"/>
        <n v="3625"/>
        <n v="2210"/>
        <n v="2778"/>
        <n v="3065"/>
        <n v="2014"/>
        <n v="2573"/>
        <n v="2496"/>
        <n v="1429"/>
        <n v="3669"/>
        <n v="2360"/>
        <n v="2260"/>
        <n v="3527"/>
        <n v="1843"/>
        <n v="1327"/>
        <n v="4029"/>
        <n v="2783"/>
        <n v="2040"/>
        <n v="1237"/>
        <n v="2438"/>
        <n v="1559"/>
        <n v="2881"/>
        <n v="2069"/>
        <n v="1490"/>
        <n v="2892"/>
        <n v="2317"/>
        <n v="1680"/>
        <n v="1615"/>
        <n v="4430"/>
        <n v="2884"/>
        <n v="3119"/>
        <n v="2224"/>
        <n v="2207"/>
        <n v="2115"/>
        <n v="2575"/>
        <n v="1641"/>
        <n v="3377"/>
        <n v="2702"/>
        <n v="2517"/>
        <n v="3004"/>
        <n v="4220"/>
        <n v="1850"/>
        <n v="1452"/>
        <n v="3436"/>
        <n v="1636"/>
        <n v="2449"/>
        <n v="2395"/>
        <n v="1330"/>
        <n v="2035"/>
        <n v="1845"/>
        <n v="1816"/>
        <n v="1630"/>
        <n v="3313"/>
        <n v="2178"/>
        <n v="2058"/>
        <n v="1901"/>
        <n v="3357"/>
        <n v="1481"/>
        <n v="3427"/>
        <n v="1496"/>
        <n v="2664"/>
        <n v="1977"/>
        <n v="2055"/>
        <n v="3086"/>
        <n v="1794"/>
        <n v="3697"/>
        <n v="3304"/>
        <n v="2400"/>
        <n v="2667"/>
        <n v="3864"/>
        <n v="2030"/>
        <n v="1574"/>
        <n v="2444"/>
        <n v="1347"/>
        <n v="2380"/>
        <n v="2581"/>
        <n v="1583"/>
        <n v="2099"/>
        <n v="2046"/>
        <n v="1648"/>
        <n v="3118"/>
        <n v="2308"/>
        <n v="2078"/>
        <n v="2931"/>
        <n v="1892"/>
        <n v="3492"/>
        <n v="2262"/>
        <n v="2060"/>
        <n v="1841"/>
        <n v="2437"/>
        <n v="2421"/>
        <n v="3209"/>
        <n v="4234"/>
        <n v="2462"/>
        <n v="2229"/>
        <n v="3662"/>
        <n v="2083"/>
        <n v="1308"/>
        <n v="3098"/>
        <n v="2344"/>
        <n v="2735"/>
        <n v="1538"/>
        <n v="1708"/>
        <n v="2096"/>
        <n v="1953"/>
        <n v="1144"/>
        <n v="1649"/>
        <n v="2966"/>
        <n v="2201"/>
        <n v="1296"/>
        <n v="2217"/>
        <n v="1876"/>
        <n v="2848"/>
        <n v="2086"/>
        <n v="3597"/>
        <n v="2445"/>
        <n v="2442"/>
        <n v="4286"/>
        <n v="2158"/>
        <n v="2676"/>
        <n v="2439"/>
        <n v="3167"/>
        <n v="4128"/>
        <n v="2786"/>
        <n v="2100"/>
        <n v="2834"/>
        <n v="1861"/>
        <n v="1276"/>
        <n v="2925"/>
        <n v="1349"/>
        <n v="2202"/>
        <n v="2733"/>
        <n v="1421"/>
        <n v="1950"/>
        <n v="1910"/>
        <n v="1783"/>
        <n v="3253"/>
        <n v="1780"/>
        <n v="2341"/>
        <n v="2374"/>
        <n v="1853"/>
        <n v="2943"/>
        <n v="2044"/>
        <n v="3765"/>
        <n v="2694"/>
        <n v="1849"/>
        <n v="3920"/>
        <n v="2170"/>
        <n v="2811"/>
        <n v="2233"/>
        <n v="3122"/>
        <n v="1607"/>
        <n v="3798"/>
        <n v="2354"/>
        <n v="2114"/>
        <n v="4039"/>
        <n v="1755"/>
        <n v="1278"/>
        <n v="3202"/>
        <n v="1965"/>
        <n v="2130"/>
        <n v="3021"/>
        <n v="1392"/>
        <n v="1508"/>
        <n v="2338"/>
        <n v="2038"/>
        <n v="1431"/>
        <n v="3032"/>
        <n v="2236"/>
        <n v="2335"/>
        <n v="2235"/>
        <n v="2822"/>
        <n v="2249"/>
        <n v="2775"/>
        <n v="1903"/>
        <n v="1822"/>
        <n v="3856"/>
        <n v="2840"/>
        <n v="2862"/>
        <n v="3176"/>
        <n v="3839"/>
        <n v="1961"/>
        <n v="2947"/>
        <n v="1895"/>
        <n v="1409"/>
        <n v="2928"/>
        <n v="1824"/>
        <n v="2088"/>
        <n v="2577"/>
        <n v="1425"/>
        <n v="1625"/>
        <n v="2104"/>
        <n v="1815"/>
        <n v="1524"/>
        <n v="4034"/>
        <n v="2303"/>
        <n v="2981"/>
        <n v="2019"/>
        <n v="2486"/>
        <n v="2482"/>
        <n v="2584"/>
        <n v="2871"/>
        <n v="2752"/>
        <n v="2790"/>
        <n v="2162"/>
        <n v="3713"/>
        <n v="1814"/>
        <n v="4196"/>
        <n v="1883"/>
        <n v="1370"/>
        <n v="3290"/>
        <n v="1807"/>
        <n v="2443"/>
        <n v="1413"/>
        <n v="1772"/>
        <n v="2488"/>
        <n v="2257"/>
        <n v="2062"/>
        <n v="1697"/>
        <n v="3264"/>
        <n v="1952"/>
        <n v="0"/>
        <n v="1882"/>
        <n v="1692"/>
        <n v="3817"/>
        <n v="2617"/>
        <n v="251"/>
        <n v="787"/>
        <n v="2231"/>
        <n v="2613"/>
        <n v="2519"/>
        <n v="2715"/>
        <n v="1832"/>
        <n v="2606"/>
        <n v="1890"/>
        <n v="3841"/>
        <n v="1555"/>
        <n v="489"/>
        <n v="1971"/>
        <n v="2458"/>
        <n v="1515"/>
        <n v="1530"/>
        <n v="2164"/>
        <n v="1724"/>
        <n v="1232"/>
        <n v="2817"/>
        <n v="2101"/>
        <n v="2424"/>
        <n v="1906"/>
        <n v="3224"/>
        <n v="1712"/>
        <n v="3378"/>
        <n v="735"/>
        <n v="2700"/>
        <n v="1799"/>
        <n v="2684"/>
        <n v="1657"/>
        <n v="2624"/>
        <n v="2253"/>
        <n v="4526"/>
        <n v="1811"/>
        <n v="1469"/>
        <n v="1888"/>
        <n v="2255"/>
        <n v="2568"/>
        <n v="1405"/>
        <n v="2206"/>
        <n v="2009"/>
        <n v="1741"/>
        <n v="1223"/>
        <n v="2507"/>
        <n v="2393"/>
        <n v="2297"/>
        <n v="2149"/>
        <n v="2677"/>
        <n v="2065"/>
        <n v="1511"/>
        <n v="2543"/>
        <n v="3097"/>
        <n v="1377"/>
        <n v="3775"/>
        <n v="1725"/>
        <n v="2820"/>
        <n v="50"/>
        <n v="942"/>
        <n v="706"/>
        <n v="600"/>
        <n v="399"/>
        <n v="182"/>
        <n v="1140"/>
        <n v="790"/>
        <n v="446"/>
        <n v="745"/>
        <n v="633"/>
        <n v="538"/>
        <n v="722"/>
        <n v="917"/>
        <n v="625"/>
        <n v="1023"/>
        <n v="791"/>
        <n v="728"/>
        <n v="938"/>
        <m/>
      </sharedItems>
    </cacheField>
    <cacheField name="ActivityLevel" numFmtId="0">
      <sharedItems containsBlank="1"/>
    </cacheField>
    <cacheField name="sleepDay_merged.SleepDay" numFmtId="0">
      <sharedItems containsNonDate="0" containsDate="1" containsString="0" containsBlank="1" minDate="2016-04-12T00:00:00" maxDate="2016-04-13T00:00:00"/>
    </cacheField>
    <cacheField name="sleepDay_merged.TotalSleepRecords" numFmtId="0">
      <sharedItems containsString="0" containsBlank="1" containsNumber="1" containsInteger="1" minValue="1" maxValue="3"/>
    </cacheField>
    <cacheField name="sleepDay_merged.TotalMinutesAsleep" numFmtId="0">
      <sharedItems containsString="0" containsBlank="1" containsNumber="1" containsInteger="1" minValue="274" maxValue="750"/>
    </cacheField>
    <cacheField name="sleepDay_merged.TotalTimeInBed" numFmtId="0">
      <sharedItems containsString="0" containsBlank="1" containsNumber="1" containsInteger="1" minValue="346" maxValue="775"/>
    </cacheField>
    <cacheField name="DayofWeek" numFmtId="0">
      <sharedItems containsBlank="1" count="8">
        <s v="Saturday"/>
        <s v="Sunday"/>
        <s v="Monday"/>
        <s v="Tuesday"/>
        <s v="Wednesday"/>
        <s v="Thursday"/>
        <s v="Friday"/>
        <m/>
      </sharedItems>
    </cacheField>
    <cacheField name="Months" numFmtId="0" databaseField="0">
      <fieldGroup base="1">
        <rangePr groupBy="months" startDate="2016-03-12T00:00:00" endDate="2016-04-13T00:00:00"/>
        <groupItems count="14">
          <s v="&lt;3/12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3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8">
  <r>
    <x v="0"/>
    <x v="0"/>
    <x v="0"/>
    <n v="7.1100001339999999"/>
    <n v="7.1100001339999999"/>
    <n v="0"/>
    <n v="2.5699999330000001"/>
    <n v="0.46000000800000002"/>
    <n v="4.0700001720000003"/>
    <n v="0"/>
    <n v="33"/>
    <n v="12"/>
    <n v="205"/>
    <n v="804"/>
    <n v="1819"/>
    <x v="0"/>
    <m/>
    <m/>
    <m/>
    <m/>
  </r>
  <r>
    <x v="0"/>
    <x v="1"/>
    <x v="1"/>
    <n v="0.14000000100000001"/>
    <n v="0.14000000100000001"/>
    <n v="0"/>
    <n v="0"/>
    <n v="0"/>
    <n v="0.12999999500000001"/>
    <n v="0"/>
    <n v="0"/>
    <n v="0"/>
    <n v="9"/>
    <n v="32"/>
    <n v="50"/>
    <x v="1"/>
    <d v="2016-04-12T00:00:00"/>
    <n v="1"/>
    <n v="327"/>
    <n v="346"/>
  </r>
  <r>
    <x v="0"/>
    <x v="2"/>
    <x v="2"/>
    <n v="11.55000019"/>
    <n v="11.55000019"/>
    <n v="0"/>
    <n v="6.920000076"/>
    <n v="0.730000019"/>
    <n v="3.9100000860000002"/>
    <n v="0"/>
    <n v="89"/>
    <n v="17"/>
    <n v="274"/>
    <n v="588"/>
    <n v="2154"/>
    <x v="0"/>
    <m/>
    <m/>
    <m/>
    <m/>
  </r>
  <r>
    <x v="0"/>
    <x v="3"/>
    <x v="3"/>
    <n v="8.5299997330000004"/>
    <n v="8.5299997330000004"/>
    <n v="0"/>
    <n v="4.6599998469999999"/>
    <n v="0.15999999600000001"/>
    <n v="3.710000038"/>
    <n v="0"/>
    <n v="56"/>
    <n v="5"/>
    <n v="268"/>
    <n v="605"/>
    <n v="1944"/>
    <x v="0"/>
    <m/>
    <m/>
    <m/>
    <m/>
  </r>
  <r>
    <x v="0"/>
    <x v="4"/>
    <x v="4"/>
    <n v="8.9300003050000001"/>
    <n v="8.9300003050000001"/>
    <n v="0"/>
    <n v="3.1900000569999998"/>
    <n v="0.790000021"/>
    <n v="4.9499998090000004"/>
    <n v="0"/>
    <n v="39"/>
    <n v="20"/>
    <n v="224"/>
    <n v="1080"/>
    <n v="1932"/>
    <x v="0"/>
    <m/>
    <m/>
    <m/>
    <m/>
  </r>
  <r>
    <x v="0"/>
    <x v="5"/>
    <x v="5"/>
    <n v="7.8499999049999998"/>
    <n v="7.8499999049999998"/>
    <n v="0"/>
    <n v="2.1600000860000002"/>
    <n v="1.0900000329999999"/>
    <n v="4.6100001339999999"/>
    <n v="0"/>
    <n v="28"/>
    <n v="28"/>
    <n v="243"/>
    <n v="763"/>
    <n v="1886"/>
    <x v="0"/>
    <m/>
    <m/>
    <m/>
    <m/>
  </r>
  <r>
    <x v="0"/>
    <x v="6"/>
    <x v="6"/>
    <n v="7.1599998469999999"/>
    <n v="7.1599998469999999"/>
    <n v="0"/>
    <n v="2.3599998950000001"/>
    <n v="0.50999998999999996"/>
    <n v="4.2899999619999996"/>
    <n v="0"/>
    <n v="30"/>
    <n v="13"/>
    <n v="223"/>
    <n v="1174"/>
    <n v="1820"/>
    <x v="0"/>
    <m/>
    <m/>
    <m/>
    <m/>
  </r>
  <r>
    <x v="0"/>
    <x v="7"/>
    <x v="7"/>
    <n v="7.8600001339999999"/>
    <n v="7.8600001339999999"/>
    <n v="0"/>
    <n v="2.289999962"/>
    <n v="0.49000000999999999"/>
    <n v="5.0399999619999996"/>
    <n v="0"/>
    <n v="33"/>
    <n v="12"/>
    <n v="239"/>
    <n v="820"/>
    <n v="1889"/>
    <x v="0"/>
    <m/>
    <m/>
    <m/>
    <m/>
  </r>
  <r>
    <x v="0"/>
    <x v="8"/>
    <x v="8"/>
    <n v="7.8699998860000004"/>
    <n v="7.8699998860000004"/>
    <n v="0"/>
    <n v="3.3199999330000001"/>
    <n v="0.829999983"/>
    <n v="3.6400001049999999"/>
    <n v="0"/>
    <n v="47"/>
    <n v="21"/>
    <n v="200"/>
    <n v="866"/>
    <n v="1868"/>
    <x v="0"/>
    <m/>
    <m/>
    <m/>
    <m/>
  </r>
  <r>
    <x v="0"/>
    <x v="9"/>
    <x v="9"/>
    <n v="7.25"/>
    <n v="7.25"/>
    <n v="0"/>
    <n v="3"/>
    <n v="0.44999998800000002"/>
    <n v="3.7400000100000002"/>
    <n v="0"/>
    <n v="40"/>
    <n v="11"/>
    <n v="244"/>
    <n v="636"/>
    <n v="1843"/>
    <x v="0"/>
    <m/>
    <m/>
    <m/>
    <m/>
  </r>
  <r>
    <x v="0"/>
    <x v="10"/>
    <x v="10"/>
    <n v="6.3699998860000004"/>
    <n v="6.3699998860000004"/>
    <n v="0"/>
    <n v="0.91000002599999996"/>
    <n v="1.2799999710000001"/>
    <n v="4.1799998279999997"/>
    <n v="0"/>
    <n v="15"/>
    <n v="30"/>
    <n v="314"/>
    <n v="655"/>
    <n v="1850"/>
    <x v="0"/>
    <m/>
    <m/>
    <m/>
    <m/>
  </r>
  <r>
    <x v="0"/>
    <x v="11"/>
    <x v="11"/>
    <n v="9.8000001910000005"/>
    <n v="9.8000001910000005"/>
    <n v="0"/>
    <n v="3.3900001049999999"/>
    <n v="0.69999998799999996"/>
    <n v="5.6900000569999998"/>
    <n v="0"/>
    <n v="43"/>
    <n v="18"/>
    <n v="285"/>
    <n v="757"/>
    <n v="2030"/>
    <x v="0"/>
    <m/>
    <m/>
    <m/>
    <m/>
  </r>
  <r>
    <x v="0"/>
    <x v="12"/>
    <x v="12"/>
    <n v="9.7299995419999998"/>
    <n v="9.7299995419999998"/>
    <n v="0"/>
    <n v="2.9400000569999998"/>
    <n v="0.75999998999999996"/>
    <n v="6.0399999619999996"/>
    <n v="0"/>
    <n v="36"/>
    <n v="18"/>
    <n v="341"/>
    <n v="736"/>
    <n v="2083"/>
    <x v="0"/>
    <m/>
    <m/>
    <m/>
    <m/>
  </r>
  <r>
    <x v="0"/>
    <x v="13"/>
    <x v="13"/>
    <n v="7.670000076"/>
    <n v="7.670000076"/>
    <n v="0"/>
    <n v="2.039999962"/>
    <n v="0.47999998900000002"/>
    <n v="5.1500000950000002"/>
    <n v="0"/>
    <n v="27"/>
    <n v="12"/>
    <n v="228"/>
    <n v="1173"/>
    <n v="1861"/>
    <x v="0"/>
    <m/>
    <m/>
    <m/>
    <m/>
  </r>
  <r>
    <x v="0"/>
    <x v="14"/>
    <x v="14"/>
    <n v="6.4400000569999998"/>
    <n v="6.4400000569999998"/>
    <n v="0"/>
    <n v="1.2000000479999999"/>
    <n v="0.790000021"/>
    <n v="4.4499998090000004"/>
    <n v="0"/>
    <n v="17"/>
    <n v="20"/>
    <n v="195"/>
    <n v="1208"/>
    <n v="1755"/>
    <x v="0"/>
    <m/>
    <m/>
    <m/>
    <m/>
  </r>
  <r>
    <x v="0"/>
    <x v="15"/>
    <x v="15"/>
    <n v="7.9400000569999998"/>
    <n v="7.9400000569999998"/>
    <n v="0"/>
    <n v="3.3099999430000002"/>
    <n v="0.89999997600000003"/>
    <n v="3.7400000100000002"/>
    <n v="0"/>
    <n v="46"/>
    <n v="22"/>
    <n v="212"/>
    <n v="1160"/>
    <n v="1895"/>
    <x v="0"/>
    <m/>
    <m/>
    <m/>
    <m/>
  </r>
  <r>
    <x v="0"/>
    <x v="16"/>
    <x v="16"/>
    <n v="8.1000003809999992"/>
    <n v="8.1000003809999992"/>
    <n v="0"/>
    <n v="2.5899999139999998"/>
    <n v="0.58999997400000004"/>
    <n v="4.920000076"/>
    <n v="0"/>
    <n v="32"/>
    <n v="15"/>
    <n v="248"/>
    <n v="738"/>
    <n v="1883"/>
    <x v="0"/>
    <m/>
    <m/>
    <m/>
    <m/>
  </r>
  <r>
    <x v="0"/>
    <x v="17"/>
    <x v="17"/>
    <n v="6.9800000190000002"/>
    <n v="6.9800000190000002"/>
    <n v="0"/>
    <n v="4"/>
    <n v="0.49000000999999999"/>
    <n v="2.4800000190000002"/>
    <n v="0"/>
    <n v="44"/>
    <n v="13"/>
    <n v="168"/>
    <n v="737"/>
    <n v="1755"/>
    <x v="0"/>
    <m/>
    <m/>
    <m/>
    <m/>
  </r>
  <r>
    <x v="0"/>
    <x v="18"/>
    <x v="18"/>
    <n v="7.2600002290000001"/>
    <n v="7.2600002290000001"/>
    <n v="0"/>
    <n v="2.039999962"/>
    <n v="0.56999999300000004"/>
    <n v="4.6500000950000002"/>
    <n v="0"/>
    <n v="26"/>
    <n v="14"/>
    <n v="216"/>
    <n v="855"/>
    <n v="1811"/>
    <x v="0"/>
    <m/>
    <m/>
    <m/>
    <m/>
  </r>
  <r>
    <x v="1"/>
    <x v="0"/>
    <x v="19"/>
    <n v="1.1799999480000001"/>
    <n v="1.1799999480000001"/>
    <n v="0"/>
    <n v="0"/>
    <n v="0"/>
    <n v="1.1299999949999999"/>
    <n v="0.01"/>
    <n v="0"/>
    <n v="0"/>
    <n v="121"/>
    <n v="1319"/>
    <n v="1373"/>
    <x v="1"/>
    <m/>
    <m/>
    <m/>
    <m/>
  </r>
  <r>
    <x v="1"/>
    <x v="2"/>
    <x v="20"/>
    <n v="0.52999997099999996"/>
    <n v="0.52999997099999996"/>
    <n v="0"/>
    <n v="0"/>
    <n v="0"/>
    <n v="0.52999997099999996"/>
    <n v="0"/>
    <n v="0"/>
    <n v="0"/>
    <n v="47"/>
    <n v="1393"/>
    <n v="1264"/>
    <x v="1"/>
    <m/>
    <m/>
    <m/>
    <m/>
  </r>
  <r>
    <x v="1"/>
    <x v="3"/>
    <x v="21"/>
    <n v="1.289999962"/>
    <n v="1.289999962"/>
    <n v="0"/>
    <n v="0"/>
    <n v="0"/>
    <n v="1.2799999710000001"/>
    <n v="0.01"/>
    <n v="0"/>
    <n v="0"/>
    <n v="112"/>
    <n v="1328"/>
    <n v="1350"/>
    <x v="1"/>
    <m/>
    <m/>
    <m/>
    <m/>
  </r>
  <r>
    <x v="1"/>
    <x v="4"/>
    <x v="22"/>
    <n v="1.2400000099999999"/>
    <n v="1.2400000099999999"/>
    <n v="0"/>
    <n v="0"/>
    <n v="0"/>
    <n v="1.2400000099999999"/>
    <n v="0"/>
    <n v="0"/>
    <n v="0"/>
    <n v="95"/>
    <n v="1345"/>
    <n v="1342"/>
    <x v="1"/>
    <m/>
    <m/>
    <m/>
    <m/>
  </r>
  <r>
    <x v="1"/>
    <x v="5"/>
    <x v="23"/>
    <n v="1.0099999900000001"/>
    <n v="1.0099999900000001"/>
    <n v="0"/>
    <n v="0"/>
    <n v="0"/>
    <n v="1"/>
    <n v="0"/>
    <n v="0"/>
    <n v="0"/>
    <n v="66"/>
    <n v="1374"/>
    <n v="1300"/>
    <x v="1"/>
    <m/>
    <m/>
    <m/>
    <m/>
  </r>
  <r>
    <x v="1"/>
    <x v="6"/>
    <x v="24"/>
    <n v="1.0900000329999999"/>
    <n v="1.0900000329999999"/>
    <n v="0"/>
    <n v="0"/>
    <n v="0"/>
    <n v="1.0900000329999999"/>
    <n v="0"/>
    <n v="0"/>
    <n v="0"/>
    <n v="84"/>
    <n v="1356"/>
    <n v="1313"/>
    <x v="1"/>
    <m/>
    <m/>
    <m/>
    <m/>
  </r>
  <r>
    <x v="1"/>
    <x v="7"/>
    <x v="25"/>
    <n v="2.9300000669999999"/>
    <n v="2.9300000669999999"/>
    <n v="0"/>
    <n v="0.50999998999999996"/>
    <n v="0.27000001099999998"/>
    <n v="2.1500000950000002"/>
    <n v="0.01"/>
    <n v="7"/>
    <n v="4"/>
    <n v="144"/>
    <n v="1285"/>
    <n v="1498"/>
    <x v="1"/>
    <m/>
    <m/>
    <m/>
    <m/>
  </r>
  <r>
    <x v="1"/>
    <x v="8"/>
    <x v="26"/>
    <n v="5.9899997709999999"/>
    <n v="5.9899997709999999"/>
    <n v="0"/>
    <n v="0"/>
    <n v="0"/>
    <n v="5.9699997900000001"/>
    <n v="0.01"/>
    <n v="0"/>
    <n v="0"/>
    <n v="221"/>
    <n v="1219"/>
    <n v="1541"/>
    <x v="2"/>
    <m/>
    <m/>
    <m/>
    <m/>
  </r>
  <r>
    <x v="1"/>
    <x v="9"/>
    <x v="27"/>
    <n v="1.0099999900000001"/>
    <n v="1.0099999900000001"/>
    <n v="0"/>
    <n v="0"/>
    <n v="0"/>
    <n v="1.0099999900000001"/>
    <n v="0.01"/>
    <n v="0"/>
    <n v="0"/>
    <n v="88"/>
    <n v="1352"/>
    <n v="1327"/>
    <x v="1"/>
    <m/>
    <m/>
    <m/>
    <m/>
  </r>
  <r>
    <x v="1"/>
    <x v="10"/>
    <x v="28"/>
    <n v="1.8899999860000001"/>
    <n v="1.8899999860000001"/>
    <n v="0"/>
    <n v="0"/>
    <n v="0"/>
    <n v="1.8799999949999999"/>
    <n v="0.01"/>
    <n v="0"/>
    <n v="0"/>
    <n v="157"/>
    <n v="1283"/>
    <n v="1452"/>
    <x v="1"/>
    <m/>
    <m/>
    <m/>
    <m/>
  </r>
  <r>
    <x v="1"/>
    <x v="11"/>
    <x v="29"/>
    <n v="12"/>
    <n v="12"/>
    <n v="0"/>
    <n v="0"/>
    <n v="0"/>
    <n v="12"/>
    <n v="0"/>
    <n v="0"/>
    <n v="0"/>
    <n v="270"/>
    <n v="1170"/>
    <n v="1574"/>
    <x v="0"/>
    <m/>
    <m/>
    <m/>
    <m/>
  </r>
  <r>
    <x v="1"/>
    <x v="12"/>
    <x v="30"/>
    <n v="0.87000000499999997"/>
    <n v="0.87000000499999997"/>
    <n v="0"/>
    <n v="0"/>
    <n v="0"/>
    <n v="0.87000000499999997"/>
    <n v="0"/>
    <n v="0"/>
    <n v="0"/>
    <n v="74"/>
    <n v="1366"/>
    <n v="1308"/>
    <x v="1"/>
    <m/>
    <m/>
    <m/>
    <m/>
  </r>
  <r>
    <x v="1"/>
    <x v="13"/>
    <x v="31"/>
    <n v="0.64999997600000003"/>
    <n v="0.64999997600000003"/>
    <n v="0"/>
    <n v="0"/>
    <n v="0"/>
    <n v="0.64999997600000003"/>
    <n v="0"/>
    <n v="0"/>
    <n v="0"/>
    <n v="55"/>
    <n v="1385"/>
    <n v="1276"/>
    <x v="1"/>
    <m/>
    <m/>
    <m/>
    <m/>
  </r>
  <r>
    <x v="1"/>
    <x v="14"/>
    <x v="32"/>
    <n v="0.72000002900000004"/>
    <n v="0.72000002900000004"/>
    <n v="0"/>
    <n v="0"/>
    <n v="0"/>
    <n v="0.72000002900000004"/>
    <n v="0"/>
    <n v="0"/>
    <n v="0"/>
    <n v="54"/>
    <n v="1386"/>
    <n v="1278"/>
    <x v="1"/>
    <m/>
    <m/>
    <m/>
    <m/>
  </r>
  <r>
    <x v="2"/>
    <x v="1"/>
    <x v="33"/>
    <n v="0.02"/>
    <n v="0.02"/>
    <n v="0"/>
    <n v="0"/>
    <n v="0"/>
    <n v="0.02"/>
    <n v="0"/>
    <n v="0"/>
    <n v="0"/>
    <n v="3"/>
    <n v="161"/>
    <n v="942"/>
    <x v="1"/>
    <d v="2016-04-12T00:00:00"/>
    <n v="3"/>
    <n v="750"/>
    <n v="775"/>
  </r>
  <r>
    <x v="1"/>
    <x v="15"/>
    <x v="34"/>
    <n v="4.1199998860000004"/>
    <n v="4.1199998860000004"/>
    <n v="0"/>
    <n v="0"/>
    <n v="0"/>
    <n v="4.0999999049999998"/>
    <n v="0"/>
    <n v="0"/>
    <n v="0"/>
    <n v="143"/>
    <n v="1297"/>
    <n v="1409"/>
    <x v="3"/>
    <m/>
    <m/>
    <m/>
    <m/>
  </r>
  <r>
    <x v="1"/>
    <x v="16"/>
    <x v="35"/>
    <n v="2.3199999330000001"/>
    <n v="2.3199999330000001"/>
    <n v="0"/>
    <n v="0"/>
    <n v="0"/>
    <n v="2.289999962"/>
    <n v="2.9999998999999999E-2"/>
    <n v="0"/>
    <n v="0"/>
    <n v="122"/>
    <n v="1318"/>
    <n v="1370"/>
    <x v="1"/>
    <m/>
    <m/>
    <m/>
    <m/>
  </r>
  <r>
    <x v="1"/>
    <x v="17"/>
    <x v="36"/>
    <n v="2.539999962"/>
    <n v="2.539999962"/>
    <n v="0"/>
    <n v="0.469999999"/>
    <n v="0.25"/>
    <n v="1.809999943"/>
    <n v="0.01"/>
    <n v="7"/>
    <n v="7"/>
    <n v="186"/>
    <n v="1240"/>
    <n v="1555"/>
    <x v="1"/>
    <m/>
    <m/>
    <m/>
    <m/>
  </r>
  <r>
    <x v="1"/>
    <x v="18"/>
    <x v="37"/>
    <n v="6.5"/>
    <n v="6.5"/>
    <n v="0"/>
    <n v="0"/>
    <n v="0"/>
    <n v="6.5"/>
    <n v="0"/>
    <n v="0"/>
    <n v="0"/>
    <n v="172"/>
    <n v="1268"/>
    <n v="1469"/>
    <x v="0"/>
    <m/>
    <m/>
    <m/>
    <m/>
  </r>
  <r>
    <x v="1"/>
    <x v="1"/>
    <x v="38"/>
    <n v="4.3099999430000002"/>
    <n v="4.3099999430000002"/>
    <n v="0"/>
    <n v="0"/>
    <n v="0"/>
    <n v="4.3099999430000002"/>
    <n v="0"/>
    <n v="0"/>
    <n v="0"/>
    <n v="89"/>
    <n v="604"/>
    <n v="706"/>
    <x v="3"/>
    <m/>
    <m/>
    <m/>
    <m/>
  </r>
  <r>
    <x v="3"/>
    <x v="1"/>
    <x v="39"/>
    <n v="0.62999999500000003"/>
    <n v="0.62999999500000003"/>
    <n v="0"/>
    <n v="0"/>
    <n v="0"/>
    <n v="0.62999999500000003"/>
    <n v="0"/>
    <n v="0"/>
    <n v="0"/>
    <n v="64"/>
    <n v="223"/>
    <n v="600"/>
    <x v="1"/>
    <d v="2016-04-12T00:00:00"/>
    <n v="1"/>
    <n v="503"/>
    <n v="546"/>
  </r>
  <r>
    <x v="4"/>
    <x v="8"/>
    <x v="40"/>
    <n v="3.4100000860000002"/>
    <n v="3.4100000860000002"/>
    <n v="0"/>
    <n v="0"/>
    <n v="0.77999997099999996"/>
    <n v="2.5999999049999998"/>
    <n v="2.9999998999999999E-2"/>
    <n v="0"/>
    <n v="16"/>
    <n v="586"/>
    <n v="838"/>
    <n v="3323"/>
    <x v="1"/>
    <m/>
    <m/>
    <m/>
    <m/>
  </r>
  <r>
    <x v="4"/>
    <x v="9"/>
    <x v="41"/>
    <n v="14.710000040000001"/>
    <n v="14.710000040000001"/>
    <n v="0"/>
    <n v="2.5699999330000001"/>
    <n v="6.4000000950000002"/>
    <n v="5.7300000190000002"/>
    <n v="0.01"/>
    <n v="34"/>
    <n v="141"/>
    <n v="347"/>
    <n v="918"/>
    <n v="4029"/>
    <x v="0"/>
    <m/>
    <m/>
    <m/>
    <m/>
  </r>
  <r>
    <x v="4"/>
    <x v="10"/>
    <x v="42"/>
    <n v="9.4099998469999999"/>
    <n v="9.4099998469999999"/>
    <n v="0"/>
    <n v="4.829999924"/>
    <n v="0.769999981"/>
    <n v="3.789999962"/>
    <n v="2.9999998999999999E-2"/>
    <n v="59"/>
    <n v="16"/>
    <n v="283"/>
    <n v="1082"/>
    <n v="3436"/>
    <x v="0"/>
    <m/>
    <m/>
    <m/>
    <m/>
  </r>
  <r>
    <x v="4"/>
    <x v="11"/>
    <x v="43"/>
    <n v="2.0499999519999998"/>
    <n v="2.0499999519999998"/>
    <n v="0"/>
    <n v="0.310000002"/>
    <n v="0.17000000200000001"/>
    <n v="1.559999943"/>
    <n v="0.01"/>
    <n v="4"/>
    <n v="4"/>
    <n v="87"/>
    <n v="1345"/>
    <n v="2444"/>
    <x v="1"/>
    <m/>
    <m/>
    <m/>
    <m/>
  </r>
  <r>
    <x v="4"/>
    <x v="12"/>
    <x v="44"/>
    <n v="7.2100000380000004"/>
    <n v="7.2100000380000004"/>
    <n v="0"/>
    <n v="0.34000000400000002"/>
    <n v="1.519999981"/>
    <n v="5.3600001339999999"/>
    <n v="0"/>
    <n v="5"/>
    <n v="35"/>
    <n v="219"/>
    <n v="1181"/>
    <n v="3098"/>
    <x v="2"/>
    <m/>
    <m/>
    <m/>
    <m/>
  </r>
  <r>
    <x v="4"/>
    <x v="13"/>
    <x v="45"/>
    <n v="5.8499999049999998"/>
    <n v="5.8499999049999998"/>
    <n v="0"/>
    <n v="1.289999962"/>
    <n v="2.119999886"/>
    <n v="2.4500000480000002"/>
    <n v="0"/>
    <n v="18"/>
    <n v="41"/>
    <n v="137"/>
    <n v="1244"/>
    <n v="2925"/>
    <x v="2"/>
    <m/>
    <m/>
    <m/>
    <m/>
  </r>
  <r>
    <x v="4"/>
    <x v="14"/>
    <x v="46"/>
    <n v="8.1199998860000004"/>
    <n v="8.1199998860000004"/>
    <n v="0"/>
    <n v="0.209999993"/>
    <n v="2.4100000860000002"/>
    <n v="5.5"/>
    <n v="0"/>
    <n v="3"/>
    <n v="58"/>
    <n v="230"/>
    <n v="1149"/>
    <n v="3202"/>
    <x v="0"/>
    <m/>
    <m/>
    <m/>
    <m/>
  </r>
  <r>
    <x v="4"/>
    <x v="15"/>
    <x v="47"/>
    <n v="5.6999998090000004"/>
    <n v="5.6999998090000004"/>
    <n v="0"/>
    <n v="0.47999998900000002"/>
    <n v="2.4100000860000002"/>
    <n v="2.8099999430000002"/>
    <n v="0"/>
    <n v="7"/>
    <n v="43"/>
    <n v="161"/>
    <n v="1229"/>
    <n v="2928"/>
    <x v="2"/>
    <m/>
    <m/>
    <m/>
    <m/>
  </r>
  <r>
    <x v="4"/>
    <x v="16"/>
    <x v="48"/>
    <n v="10.06000042"/>
    <n v="10.06000042"/>
    <n v="0"/>
    <n v="1.309999943"/>
    <n v="3.7200000289999999"/>
    <n v="5.0300002099999999"/>
    <n v="0"/>
    <n v="18"/>
    <n v="81"/>
    <n v="192"/>
    <n v="1149"/>
    <n v="3290"/>
    <x v="0"/>
    <m/>
    <m/>
    <m/>
    <m/>
  </r>
  <r>
    <x v="4"/>
    <x v="17"/>
    <x v="49"/>
    <n v="0.97000002900000004"/>
    <n v="0.97000002900000004"/>
    <n v="0"/>
    <n v="0"/>
    <n v="0"/>
    <n v="0.97000002900000004"/>
    <n v="0"/>
    <n v="0"/>
    <n v="0"/>
    <n v="35"/>
    <n v="207"/>
    <n v="489"/>
    <x v="1"/>
    <m/>
    <m/>
    <m/>
    <m/>
  </r>
  <r>
    <x v="5"/>
    <x v="8"/>
    <x v="50"/>
    <n v="4.5300002099999999"/>
    <n v="4.5300002099999999"/>
    <n v="0"/>
    <n v="0.61000001400000003"/>
    <n v="0.37000000500000002"/>
    <n v="3.5499999519999998"/>
    <n v="0"/>
    <n v="9"/>
    <n v="9"/>
    <n v="251"/>
    <n v="1171"/>
    <n v="1969"/>
    <x v="3"/>
    <m/>
    <m/>
    <m/>
    <m/>
  </r>
  <r>
    <x v="5"/>
    <x v="9"/>
    <x v="51"/>
    <n v="3.5499999519999998"/>
    <n v="3.5499999519999998"/>
    <n v="0"/>
    <n v="0"/>
    <n v="0"/>
    <n v="3.5499999519999998"/>
    <n v="0"/>
    <n v="0"/>
    <n v="0"/>
    <n v="263"/>
    <n v="1177"/>
    <n v="1889"/>
    <x v="3"/>
    <m/>
    <m/>
    <m/>
    <m/>
  </r>
  <r>
    <x v="5"/>
    <x v="10"/>
    <x v="52"/>
    <n v="1.8799999949999999"/>
    <n v="1.8799999949999999"/>
    <n v="0"/>
    <n v="0"/>
    <n v="0"/>
    <n v="1.8799999949999999"/>
    <n v="0"/>
    <n v="0"/>
    <n v="0"/>
    <n v="136"/>
    <n v="1114"/>
    <n v="1636"/>
    <x v="1"/>
    <m/>
    <m/>
    <m/>
    <m/>
  </r>
  <r>
    <x v="5"/>
    <x v="11"/>
    <x v="53"/>
    <n v="0"/>
    <n v="0"/>
    <n v="0"/>
    <n v="0"/>
    <n v="0"/>
    <n v="0"/>
    <n v="0"/>
    <n v="0"/>
    <n v="0"/>
    <n v="0"/>
    <n v="669"/>
    <n v="1347"/>
    <x v="1"/>
    <m/>
    <m/>
    <m/>
    <m/>
  </r>
  <r>
    <x v="5"/>
    <x v="12"/>
    <x v="53"/>
    <n v="0"/>
    <n v="0"/>
    <n v="0"/>
    <n v="0"/>
    <n v="0"/>
    <n v="0"/>
    <n v="0"/>
    <n v="0"/>
    <n v="0"/>
    <n v="0"/>
    <n v="1440"/>
    <n v="1347"/>
    <x v="1"/>
    <m/>
    <m/>
    <m/>
    <m/>
  </r>
  <r>
    <x v="5"/>
    <x v="13"/>
    <x v="54"/>
    <n v="0"/>
    <n v="0"/>
    <n v="0"/>
    <n v="0"/>
    <n v="0"/>
    <n v="0"/>
    <n v="0"/>
    <n v="0"/>
    <n v="0"/>
    <n v="1"/>
    <n v="1439"/>
    <n v="1349"/>
    <x v="1"/>
    <m/>
    <m/>
    <m/>
    <m/>
  </r>
  <r>
    <x v="5"/>
    <x v="14"/>
    <x v="34"/>
    <n v="4.1900000569999998"/>
    <n v="4.1900000569999998"/>
    <n v="0"/>
    <n v="0"/>
    <n v="0"/>
    <n v="4.1900000569999998"/>
    <n v="0"/>
    <n v="0"/>
    <n v="0"/>
    <n v="290"/>
    <n v="1150"/>
    <n v="1965"/>
    <x v="3"/>
    <m/>
    <m/>
    <m/>
    <m/>
  </r>
  <r>
    <x v="5"/>
    <x v="15"/>
    <x v="55"/>
    <n v="3.5099999899999998"/>
    <n v="3.5099999899999998"/>
    <n v="0"/>
    <n v="0"/>
    <n v="0"/>
    <n v="3.5099999899999998"/>
    <n v="0"/>
    <n v="0"/>
    <n v="0"/>
    <n v="221"/>
    <n v="1219"/>
    <n v="1824"/>
    <x v="3"/>
    <m/>
    <m/>
    <m/>
    <m/>
  </r>
  <r>
    <x v="5"/>
    <x v="16"/>
    <x v="56"/>
    <n v="3.289999962"/>
    <n v="3.289999962"/>
    <n v="0"/>
    <n v="0"/>
    <n v="0"/>
    <n v="3.289999962"/>
    <n v="0"/>
    <n v="0"/>
    <n v="0"/>
    <n v="184"/>
    <n v="620"/>
    <n v="1807"/>
    <x v="1"/>
    <m/>
    <m/>
    <m/>
    <m/>
  </r>
  <r>
    <x v="5"/>
    <x v="17"/>
    <x v="57"/>
    <n v="4.3400001530000001"/>
    <n v="4.3400001530000001"/>
    <n v="0"/>
    <n v="0"/>
    <n v="0"/>
    <n v="4.329999924"/>
    <n v="0"/>
    <n v="0"/>
    <n v="0"/>
    <n v="305"/>
    <n v="810"/>
    <n v="1971"/>
    <x v="3"/>
    <m/>
    <m/>
    <m/>
    <m/>
  </r>
  <r>
    <x v="5"/>
    <x v="18"/>
    <x v="58"/>
    <n v="3.5899999139999998"/>
    <n v="3.5899999139999998"/>
    <n v="0"/>
    <n v="0"/>
    <n v="0"/>
    <n v="3.5899999139999998"/>
    <n v="0"/>
    <n v="0"/>
    <n v="0"/>
    <n v="251"/>
    <n v="1189"/>
    <n v="1888"/>
    <x v="3"/>
    <m/>
    <m/>
    <m/>
    <m/>
  </r>
  <r>
    <x v="5"/>
    <x v="1"/>
    <x v="53"/>
    <n v="0"/>
    <n v="0"/>
    <n v="0"/>
    <n v="0"/>
    <n v="0"/>
    <n v="0"/>
    <n v="0"/>
    <n v="0"/>
    <n v="0"/>
    <n v="0"/>
    <n v="426"/>
    <n v="399"/>
    <x v="1"/>
    <m/>
    <m/>
    <m/>
    <m/>
  </r>
  <r>
    <x v="2"/>
    <x v="8"/>
    <x v="59"/>
    <n v="2.9900000100000002"/>
    <n v="2.9900000100000002"/>
    <n v="0"/>
    <n v="0"/>
    <n v="0.37000000500000002"/>
    <n v="2.619999886"/>
    <n v="0"/>
    <n v="0"/>
    <n v="11"/>
    <n v="192"/>
    <n v="854"/>
    <n v="2590"/>
    <x v="1"/>
    <m/>
    <m/>
    <m/>
    <m/>
  </r>
  <r>
    <x v="2"/>
    <x v="9"/>
    <x v="60"/>
    <n v="3.920000076"/>
    <n v="3.920000076"/>
    <n v="0"/>
    <n v="0"/>
    <n v="0"/>
    <n v="3.920000076"/>
    <n v="0"/>
    <n v="0"/>
    <n v="0"/>
    <n v="267"/>
    <n v="858"/>
    <n v="2783"/>
    <x v="3"/>
    <m/>
    <m/>
    <m/>
    <m/>
  </r>
  <r>
    <x v="2"/>
    <x v="10"/>
    <x v="61"/>
    <n v="2.210000038"/>
    <n v="2.210000038"/>
    <n v="0"/>
    <n v="0"/>
    <n v="0"/>
    <n v="2.210000038"/>
    <n v="0"/>
    <n v="0"/>
    <n v="0"/>
    <n v="146"/>
    <n v="1183"/>
    <n v="2449"/>
    <x v="1"/>
    <m/>
    <m/>
    <m/>
    <m/>
  </r>
  <r>
    <x v="2"/>
    <x v="11"/>
    <x v="62"/>
    <n v="1.6299999949999999"/>
    <n v="1.6299999949999999"/>
    <n v="0"/>
    <n v="0"/>
    <n v="0"/>
    <n v="1.6299999949999999"/>
    <n v="0"/>
    <n v="0"/>
    <n v="0"/>
    <n v="128"/>
    <n v="829"/>
    <n v="2380"/>
    <x v="1"/>
    <m/>
    <m/>
    <m/>
    <m/>
  </r>
  <r>
    <x v="2"/>
    <x v="12"/>
    <x v="63"/>
    <n v="1.5499999520000001"/>
    <n v="1.5499999520000001"/>
    <n v="0"/>
    <n v="0"/>
    <n v="0"/>
    <n v="1.5499999520000001"/>
    <n v="0"/>
    <n v="0"/>
    <n v="0"/>
    <n v="108"/>
    <n v="912"/>
    <n v="2344"/>
    <x v="1"/>
    <m/>
    <m/>
    <m/>
    <m/>
  </r>
  <r>
    <x v="2"/>
    <x v="13"/>
    <x v="64"/>
    <n v="0.87000000499999997"/>
    <n v="0.87000000499999997"/>
    <n v="0"/>
    <n v="0"/>
    <n v="0"/>
    <n v="0.87000000499999997"/>
    <n v="0"/>
    <n v="0"/>
    <n v="0"/>
    <n v="73"/>
    <n v="938"/>
    <n v="2202"/>
    <x v="1"/>
    <m/>
    <m/>
    <m/>
    <m/>
  </r>
  <r>
    <x v="2"/>
    <x v="14"/>
    <x v="65"/>
    <n v="0.52999997099999996"/>
    <n v="0.52999997099999996"/>
    <n v="0"/>
    <n v="0"/>
    <n v="0"/>
    <n v="0.52999997099999996"/>
    <n v="0"/>
    <n v="0"/>
    <n v="0"/>
    <n v="43"/>
    <n v="1397"/>
    <n v="2130"/>
    <x v="1"/>
    <m/>
    <m/>
    <m/>
    <m/>
  </r>
  <r>
    <x v="2"/>
    <x v="15"/>
    <x v="66"/>
    <n v="0.36000001399999998"/>
    <n v="0.36000001399999998"/>
    <n v="0"/>
    <n v="0"/>
    <n v="0"/>
    <n v="0.36000001399999998"/>
    <n v="0"/>
    <n v="0"/>
    <n v="0"/>
    <n v="34"/>
    <n v="1406"/>
    <n v="2088"/>
    <x v="1"/>
    <m/>
    <m/>
    <m/>
    <m/>
  </r>
  <r>
    <x v="2"/>
    <x v="16"/>
    <x v="67"/>
    <n v="1.75"/>
    <n v="1.75"/>
    <n v="0"/>
    <n v="0"/>
    <n v="0.37000000500000002"/>
    <n v="1.3799999949999999"/>
    <n v="0"/>
    <n v="0"/>
    <n v="9"/>
    <n v="134"/>
    <n v="1250"/>
    <n v="2443"/>
    <x v="1"/>
    <m/>
    <m/>
    <m/>
    <m/>
  </r>
  <r>
    <x v="2"/>
    <x v="17"/>
    <x v="68"/>
    <n v="1.460000038"/>
    <n v="1.460000038"/>
    <n v="0"/>
    <n v="0"/>
    <n v="0"/>
    <n v="1.460000038"/>
    <n v="0"/>
    <n v="0"/>
    <n v="0"/>
    <n v="139"/>
    <n v="805"/>
    <n v="2442"/>
    <x v="1"/>
    <m/>
    <m/>
    <m/>
    <m/>
  </r>
  <r>
    <x v="2"/>
    <x v="18"/>
    <x v="69"/>
    <n v="0.83999997400000004"/>
    <n v="0.83999997400000004"/>
    <n v="0"/>
    <n v="0"/>
    <n v="0"/>
    <n v="0.83999997400000004"/>
    <n v="0"/>
    <n v="0"/>
    <n v="0"/>
    <n v="73"/>
    <n v="842"/>
    <n v="2255"/>
    <x v="1"/>
    <m/>
    <m/>
    <m/>
    <m/>
  </r>
  <r>
    <x v="6"/>
    <x v="8"/>
    <x v="70"/>
    <n v="9.6000003809999992"/>
    <n v="9.6000003809999992"/>
    <n v="0"/>
    <n v="5.4600000380000004"/>
    <n v="0.62999999500000003"/>
    <n v="3.5099999899999998"/>
    <n v="0"/>
    <n v="72"/>
    <n v="16"/>
    <n v="213"/>
    <n v="1139"/>
    <n v="2645"/>
    <x v="0"/>
    <m/>
    <m/>
    <m/>
    <m/>
  </r>
  <r>
    <x v="6"/>
    <x v="9"/>
    <x v="71"/>
    <n v="3.8399999139999998"/>
    <n v="3.8399999139999998"/>
    <n v="0"/>
    <n v="0"/>
    <n v="0"/>
    <n v="3.8399999139999998"/>
    <n v="0"/>
    <n v="0"/>
    <n v="0"/>
    <n v="237"/>
    <n v="1203"/>
    <n v="2040"/>
    <x v="3"/>
    <m/>
    <m/>
    <m/>
    <m/>
  </r>
  <r>
    <x v="6"/>
    <x v="10"/>
    <x v="72"/>
    <n v="7.8200001720000003"/>
    <n v="7.8200001720000003"/>
    <n v="0"/>
    <n v="1.789999962"/>
    <n v="0.88999998599999997"/>
    <n v="5.1399998660000001"/>
    <n v="0"/>
    <n v="25"/>
    <n v="22"/>
    <n v="279"/>
    <n v="1114"/>
    <n v="2395"/>
    <x v="0"/>
    <m/>
    <m/>
    <m/>
    <m/>
  </r>
  <r>
    <x v="6"/>
    <x v="11"/>
    <x v="73"/>
    <n v="11"/>
    <n v="11"/>
    <n v="0"/>
    <n v="5.0199999809999998"/>
    <n v="1.289999962"/>
    <n v="4.6900000569999998"/>
    <n v="0"/>
    <n v="62"/>
    <n v="19"/>
    <n v="233"/>
    <n v="1126"/>
    <n v="2581"/>
    <x v="0"/>
    <m/>
    <m/>
    <m/>
    <m/>
  </r>
  <r>
    <x v="6"/>
    <x v="12"/>
    <x v="74"/>
    <n v="7.5900001530000001"/>
    <n v="7.5900001530000001"/>
    <n v="0"/>
    <n v="0.72000002900000004"/>
    <n v="0.980000019"/>
    <n v="5.8899998660000001"/>
    <n v="0"/>
    <n v="36"/>
    <n v="37"/>
    <n v="298"/>
    <n v="1069"/>
    <n v="2735"/>
    <x v="0"/>
    <m/>
    <m/>
    <m/>
    <m/>
  </r>
  <r>
    <x v="6"/>
    <x v="13"/>
    <x v="75"/>
    <n v="10.93000031"/>
    <n v="10.93000031"/>
    <n v="0"/>
    <n v="3.4300000669999999"/>
    <n v="1.75"/>
    <n v="5.75"/>
    <n v="0"/>
    <n v="47"/>
    <n v="42"/>
    <n v="258"/>
    <n v="1093"/>
    <n v="2733"/>
    <x v="0"/>
    <m/>
    <m/>
    <m/>
    <m/>
  </r>
  <r>
    <x v="6"/>
    <x v="14"/>
    <x v="76"/>
    <n v="13.829999920000001"/>
    <n v="13.829999920000001"/>
    <n v="0"/>
    <n v="7.1100001339999999"/>
    <n v="2.210000038"/>
    <n v="4.5100002290000001"/>
    <n v="0"/>
    <n v="72"/>
    <n v="62"/>
    <n v="252"/>
    <n v="1054"/>
    <n v="3021"/>
    <x v="0"/>
    <m/>
    <m/>
    <m/>
    <m/>
  </r>
  <r>
    <x v="6"/>
    <x v="15"/>
    <x v="77"/>
    <n v="9.2600002289999992"/>
    <n v="9.2600002289999992"/>
    <n v="0"/>
    <n v="3.2300000190000002"/>
    <n v="0.560000002"/>
    <n v="5.4699997900000001"/>
    <n v="0"/>
    <n v="40"/>
    <n v="12"/>
    <n v="296"/>
    <n v="1092"/>
    <n v="2577"/>
    <x v="0"/>
    <m/>
    <m/>
    <m/>
    <m/>
  </r>
  <r>
    <x v="6"/>
    <x v="16"/>
    <x v="78"/>
    <n v="12.59000015"/>
    <n v="12.59000015"/>
    <n v="0"/>
    <n v="5.75"/>
    <n v="0.469999999"/>
    <n v="6.3699998860000004"/>
    <n v="0"/>
    <n v="44"/>
    <n v="16"/>
    <n v="302"/>
    <n v="1078"/>
    <n v="2811"/>
    <x v="0"/>
    <m/>
    <m/>
    <m/>
    <m/>
  </r>
  <r>
    <x v="6"/>
    <x v="17"/>
    <x v="79"/>
    <n v="7.0199999809999998"/>
    <n v="7.0199999809999998"/>
    <n v="0"/>
    <n v="7.9999998000000003E-2"/>
    <n v="1.0499999520000001"/>
    <n v="5.9000000950000002"/>
    <n v="0"/>
    <n v="1"/>
    <n v="23"/>
    <n v="339"/>
    <n v="1077"/>
    <n v="2458"/>
    <x v="0"/>
    <m/>
    <m/>
    <m/>
    <m/>
  </r>
  <r>
    <x v="7"/>
    <x v="1"/>
    <x v="80"/>
    <n v="0.56999999300000004"/>
    <n v="0.56999999300000004"/>
    <n v="0"/>
    <n v="0"/>
    <n v="0"/>
    <n v="0.56999999300000004"/>
    <n v="0"/>
    <n v="0"/>
    <n v="0"/>
    <n v="17"/>
    <n v="187"/>
    <n v="182"/>
    <x v="1"/>
    <d v="2016-04-12T00:00:00"/>
    <n v="1"/>
    <n v="274"/>
    <n v="469"/>
  </r>
  <r>
    <x v="6"/>
    <x v="18"/>
    <x v="81"/>
    <n v="7.0900001530000001"/>
    <n v="7.0900001530000001"/>
    <n v="0"/>
    <n v="1.210000038"/>
    <n v="0.560000002"/>
    <n v="5.329999924"/>
    <n v="0"/>
    <n v="41"/>
    <n v="16"/>
    <n v="272"/>
    <n v="1111"/>
    <n v="2568"/>
    <x v="0"/>
    <m/>
    <m/>
    <m/>
    <m/>
  </r>
  <r>
    <x v="6"/>
    <x v="1"/>
    <x v="82"/>
    <n v="4.7199997900000001"/>
    <n v="4.7199997900000001"/>
    <n v="0"/>
    <n v="3.2300000190000002"/>
    <n v="0.219999999"/>
    <n v="1.269999981"/>
    <n v="0"/>
    <n v="41"/>
    <n v="5"/>
    <n v="67"/>
    <n v="551"/>
    <n v="1140"/>
    <x v="3"/>
    <m/>
    <m/>
    <m/>
    <m/>
  </r>
  <r>
    <x v="3"/>
    <x v="8"/>
    <x v="83"/>
    <n v="1.6200000050000001"/>
    <n v="1.6200000050000001"/>
    <n v="0"/>
    <n v="0"/>
    <n v="0"/>
    <n v="1.6200000050000001"/>
    <n v="0"/>
    <n v="0"/>
    <n v="0"/>
    <n v="166"/>
    <n v="729"/>
    <n v="1407"/>
    <x v="1"/>
    <m/>
    <m/>
    <m/>
    <m/>
  </r>
  <r>
    <x v="3"/>
    <x v="9"/>
    <x v="84"/>
    <n v="0.75999998999999996"/>
    <n v="0.75999998999999996"/>
    <n v="0"/>
    <n v="0"/>
    <n v="0"/>
    <n v="0.75999998999999996"/>
    <n v="0"/>
    <n v="0"/>
    <n v="0"/>
    <n v="69"/>
    <n v="795"/>
    <n v="1237"/>
    <x v="1"/>
    <m/>
    <m/>
    <m/>
    <m/>
  </r>
  <r>
    <x v="3"/>
    <x v="10"/>
    <x v="85"/>
    <n v="1.4299999480000001"/>
    <n v="1.4299999480000001"/>
    <n v="0"/>
    <n v="0"/>
    <n v="0"/>
    <n v="1.4299999480000001"/>
    <n v="0"/>
    <n v="0"/>
    <n v="0"/>
    <n v="115"/>
    <n v="720"/>
    <n v="1330"/>
    <x v="1"/>
    <m/>
    <m/>
    <m/>
    <m/>
  </r>
  <r>
    <x v="3"/>
    <x v="11"/>
    <x v="86"/>
    <n v="4.1399998660000001"/>
    <n v="4.1399998660000001"/>
    <n v="0"/>
    <n v="0"/>
    <n v="0"/>
    <n v="4.1399998660000001"/>
    <n v="0"/>
    <n v="0"/>
    <n v="0"/>
    <n v="263"/>
    <n v="644"/>
    <n v="1583"/>
    <x v="3"/>
    <m/>
    <m/>
    <m/>
    <m/>
  </r>
  <r>
    <x v="3"/>
    <x v="12"/>
    <x v="87"/>
    <n v="3.5"/>
    <n v="3.5"/>
    <n v="0"/>
    <n v="0"/>
    <n v="0"/>
    <n v="3.5"/>
    <n v="0"/>
    <n v="0"/>
    <n v="0"/>
    <n v="248"/>
    <n v="621"/>
    <n v="1538"/>
    <x v="3"/>
    <m/>
    <m/>
    <m/>
    <m/>
  </r>
  <r>
    <x v="3"/>
    <x v="13"/>
    <x v="88"/>
    <n v="1.9700000289999999"/>
    <n v="1.9700000289999999"/>
    <n v="0"/>
    <n v="0"/>
    <n v="0"/>
    <n v="1.9700000289999999"/>
    <n v="0"/>
    <n v="0"/>
    <n v="0"/>
    <n v="185"/>
    <n v="738"/>
    <n v="1421"/>
    <x v="1"/>
    <m/>
    <m/>
    <m/>
    <m/>
  </r>
  <r>
    <x v="3"/>
    <x v="14"/>
    <x v="89"/>
    <n v="1.7200000289999999"/>
    <n v="1.7200000289999999"/>
    <n v="0"/>
    <n v="0"/>
    <n v="0"/>
    <n v="1.7200000289999999"/>
    <n v="0"/>
    <n v="0"/>
    <n v="0"/>
    <n v="170"/>
    <n v="673"/>
    <n v="1392"/>
    <x v="1"/>
    <m/>
    <m/>
    <m/>
    <m/>
  </r>
  <r>
    <x v="3"/>
    <x v="15"/>
    <x v="90"/>
    <n v="2.329999924"/>
    <n v="2.329999924"/>
    <n v="0"/>
    <n v="0"/>
    <n v="0"/>
    <n v="2.329999924"/>
    <n v="0"/>
    <n v="0"/>
    <n v="0"/>
    <n v="173"/>
    <n v="719"/>
    <n v="1425"/>
    <x v="1"/>
    <m/>
    <m/>
    <m/>
    <m/>
  </r>
  <r>
    <x v="3"/>
    <x v="16"/>
    <x v="91"/>
    <n v="1.9199999569999999"/>
    <n v="1.9199999569999999"/>
    <n v="0"/>
    <n v="0"/>
    <n v="0"/>
    <n v="1.9199999569999999"/>
    <n v="0"/>
    <n v="0"/>
    <n v="0"/>
    <n v="185"/>
    <n v="700"/>
    <n v="1413"/>
    <x v="1"/>
    <m/>
    <m/>
    <m/>
    <m/>
  </r>
  <r>
    <x v="3"/>
    <x v="17"/>
    <x v="92"/>
    <n v="3.1900000569999998"/>
    <n v="3.1900000569999998"/>
    <n v="0"/>
    <n v="0"/>
    <n v="0"/>
    <n v="3.1900000569999998"/>
    <n v="0"/>
    <n v="0"/>
    <n v="0"/>
    <n v="230"/>
    <n v="654"/>
    <n v="1515"/>
    <x v="3"/>
    <m/>
    <m/>
    <m/>
    <m/>
  </r>
  <r>
    <x v="3"/>
    <x v="18"/>
    <x v="93"/>
    <n v="2.0299999710000001"/>
    <n v="2.0299999710000001"/>
    <n v="0"/>
    <n v="0"/>
    <n v="0"/>
    <n v="2.0299999710000001"/>
    <n v="0"/>
    <n v="0"/>
    <n v="0"/>
    <n v="164"/>
    <n v="694"/>
    <n v="1405"/>
    <x v="1"/>
    <m/>
    <m/>
    <m/>
    <m/>
  </r>
  <r>
    <x v="8"/>
    <x v="8"/>
    <x v="53"/>
    <n v="0"/>
    <n v="0"/>
    <n v="0"/>
    <n v="0"/>
    <n v="0"/>
    <n v="0"/>
    <n v="0"/>
    <n v="0"/>
    <n v="0"/>
    <n v="0"/>
    <n v="1440"/>
    <n v="1324"/>
    <x v="1"/>
    <m/>
    <m/>
    <m/>
    <m/>
  </r>
  <r>
    <x v="8"/>
    <x v="9"/>
    <x v="53"/>
    <n v="0"/>
    <n v="0"/>
    <n v="0"/>
    <n v="0"/>
    <n v="0"/>
    <n v="0"/>
    <n v="0"/>
    <n v="0"/>
    <n v="0"/>
    <n v="0"/>
    <n v="1440"/>
    <n v="1324"/>
    <x v="1"/>
    <m/>
    <m/>
    <m/>
    <m/>
  </r>
  <r>
    <x v="8"/>
    <x v="10"/>
    <x v="53"/>
    <n v="0"/>
    <n v="0"/>
    <n v="0"/>
    <n v="0"/>
    <n v="0"/>
    <n v="0"/>
    <n v="0"/>
    <n v="0"/>
    <n v="0"/>
    <n v="0"/>
    <n v="1440"/>
    <n v="1324"/>
    <x v="1"/>
    <m/>
    <m/>
    <m/>
    <m/>
  </r>
  <r>
    <x v="8"/>
    <x v="11"/>
    <x v="53"/>
    <n v="0"/>
    <n v="0"/>
    <n v="0"/>
    <n v="0"/>
    <n v="0"/>
    <n v="0"/>
    <n v="0"/>
    <n v="0"/>
    <n v="0"/>
    <n v="0"/>
    <n v="1440"/>
    <n v="1324"/>
    <x v="1"/>
    <m/>
    <m/>
    <m/>
    <m/>
  </r>
  <r>
    <x v="8"/>
    <x v="12"/>
    <x v="94"/>
    <n v="3.3199999330000001"/>
    <n v="3.3199999330000001"/>
    <n v="0"/>
    <n v="0"/>
    <n v="0"/>
    <n v="3.3199999330000001"/>
    <n v="0"/>
    <n v="0"/>
    <n v="0"/>
    <n v="175"/>
    <n v="1265"/>
    <n v="1708"/>
    <x v="1"/>
    <m/>
    <m/>
    <m/>
    <m/>
  </r>
  <r>
    <x v="8"/>
    <x v="13"/>
    <x v="95"/>
    <n v="4.7199997900000001"/>
    <n v="4.7199997900000001"/>
    <n v="0"/>
    <n v="0"/>
    <n v="0"/>
    <n v="4.7199997900000001"/>
    <n v="0"/>
    <n v="0"/>
    <n v="0"/>
    <n v="320"/>
    <n v="1120"/>
    <n v="1950"/>
    <x v="3"/>
    <m/>
    <m/>
    <m/>
    <m/>
  </r>
  <r>
    <x v="8"/>
    <x v="14"/>
    <x v="96"/>
    <n v="1.2400000099999999"/>
    <n v="1.2400000099999999"/>
    <n v="0"/>
    <n v="0"/>
    <n v="0"/>
    <n v="1.2400000099999999"/>
    <n v="0"/>
    <n v="0"/>
    <n v="0"/>
    <n v="93"/>
    <n v="1347"/>
    <n v="1508"/>
    <x v="1"/>
    <m/>
    <m/>
    <m/>
    <m/>
  </r>
  <r>
    <x v="8"/>
    <x v="15"/>
    <x v="97"/>
    <n v="2.2999999519999998"/>
    <n v="2.2999999519999998"/>
    <n v="0"/>
    <n v="0"/>
    <n v="0"/>
    <n v="2.2999999519999998"/>
    <n v="0"/>
    <n v="0"/>
    <n v="0"/>
    <n v="153"/>
    <n v="1287"/>
    <n v="1625"/>
    <x v="1"/>
    <m/>
    <m/>
    <m/>
    <m/>
  </r>
  <r>
    <x v="8"/>
    <x v="16"/>
    <x v="98"/>
    <n v="3.2799999710000001"/>
    <n v="3.2799999710000001"/>
    <n v="0"/>
    <n v="5.9999998999999998E-2"/>
    <n v="0.41999998700000002"/>
    <n v="2.7999999519999998"/>
    <n v="0"/>
    <n v="1"/>
    <n v="11"/>
    <n v="208"/>
    <n v="1220"/>
    <n v="1772"/>
    <x v="1"/>
    <m/>
    <m/>
    <m/>
    <m/>
  </r>
  <r>
    <x v="8"/>
    <x v="17"/>
    <x v="99"/>
    <n v="1.5299999710000001"/>
    <n v="1.5299999710000001"/>
    <n v="0"/>
    <n v="0"/>
    <n v="0"/>
    <n v="1.5299999710000001"/>
    <n v="0"/>
    <n v="0"/>
    <n v="0"/>
    <n v="103"/>
    <n v="1337"/>
    <n v="1530"/>
    <x v="1"/>
    <m/>
    <m/>
    <m/>
    <m/>
  </r>
  <r>
    <x v="8"/>
    <x v="18"/>
    <x v="100"/>
    <n v="7.670000076"/>
    <n v="7.670000076"/>
    <n v="0"/>
    <n v="0.88999998599999997"/>
    <n v="0.119999997"/>
    <n v="6.6599998469999999"/>
    <n v="0"/>
    <n v="10"/>
    <n v="2"/>
    <n v="390"/>
    <n v="1038"/>
    <n v="2206"/>
    <x v="0"/>
    <m/>
    <m/>
    <m/>
    <m/>
  </r>
  <r>
    <x v="8"/>
    <x v="1"/>
    <x v="101"/>
    <n v="1.4099999670000001"/>
    <n v="1.4099999670000001"/>
    <n v="0"/>
    <n v="0"/>
    <n v="0"/>
    <n v="1.4099999670000001"/>
    <n v="0"/>
    <n v="0"/>
    <n v="0"/>
    <n v="69"/>
    <n v="617"/>
    <n v="790"/>
    <x v="1"/>
    <m/>
    <m/>
    <m/>
    <m/>
  </r>
  <r>
    <x v="9"/>
    <x v="5"/>
    <x v="102"/>
    <n v="6.7899999619999996"/>
    <n v="6.7899999619999996"/>
    <n v="0"/>
    <n v="0.15999999600000001"/>
    <n v="3.119999886"/>
    <n v="3.5"/>
    <n v="0"/>
    <n v="2"/>
    <n v="58"/>
    <n v="208"/>
    <n v="700"/>
    <n v="2041"/>
    <x v="0"/>
    <m/>
    <m/>
    <m/>
    <m/>
  </r>
  <r>
    <x v="9"/>
    <x v="6"/>
    <x v="103"/>
    <n v="7.0999999049999998"/>
    <n v="7.0999999049999998"/>
    <n v="0"/>
    <n v="1.769999981"/>
    <n v="2.0599999430000002"/>
    <n v="3.2699999809999998"/>
    <n v="0"/>
    <n v="21"/>
    <n v="35"/>
    <n v="255"/>
    <n v="615"/>
    <n v="2187"/>
    <x v="0"/>
    <m/>
    <m/>
    <m/>
    <m/>
  </r>
  <r>
    <x v="10"/>
    <x v="1"/>
    <x v="104"/>
    <n v="0.01"/>
    <n v="0.01"/>
    <n v="0"/>
    <n v="0"/>
    <n v="0"/>
    <n v="0.01"/>
    <n v="0"/>
    <n v="0"/>
    <n v="0"/>
    <n v="1"/>
    <n v="321"/>
    <n v="446"/>
    <x v="1"/>
    <d v="2016-04-12T00:00:00"/>
    <n v="1"/>
    <n v="501"/>
    <n v="541"/>
  </r>
  <r>
    <x v="9"/>
    <x v="7"/>
    <x v="105"/>
    <n v="4.4699997900000001"/>
    <n v="4.4699997900000001"/>
    <n v="0"/>
    <n v="0"/>
    <n v="0"/>
    <n v="4.4699997900000001"/>
    <n v="0"/>
    <n v="0"/>
    <n v="0"/>
    <n v="250"/>
    <n v="613"/>
    <n v="1929"/>
    <x v="3"/>
    <m/>
    <m/>
    <m/>
    <m/>
  </r>
  <r>
    <x v="9"/>
    <x v="8"/>
    <x v="106"/>
    <n v="5.5100002290000001"/>
    <n v="5.5100002290000001"/>
    <n v="0"/>
    <n v="0"/>
    <n v="2"/>
    <n v="3.5"/>
    <n v="0"/>
    <n v="0"/>
    <n v="33"/>
    <n v="212"/>
    <n v="804"/>
    <n v="1935"/>
    <x v="2"/>
    <m/>
    <m/>
    <m/>
    <m/>
  </r>
  <r>
    <x v="9"/>
    <x v="9"/>
    <x v="107"/>
    <n v="10.22000027"/>
    <n v="10.22000027"/>
    <n v="0"/>
    <n v="3.5899999139999998"/>
    <n v="0.810000002"/>
    <n v="5.8200001720000003"/>
    <n v="0"/>
    <n v="51"/>
    <n v="16"/>
    <n v="327"/>
    <n v="583"/>
    <n v="2438"/>
    <x v="0"/>
    <m/>
    <m/>
    <m/>
    <m/>
  </r>
  <r>
    <x v="9"/>
    <x v="10"/>
    <x v="108"/>
    <n v="4.9499998090000004"/>
    <n v="4.9499998090000004"/>
    <n v="0"/>
    <n v="0"/>
    <n v="0"/>
    <n v="4.9499998090000004"/>
    <n v="0"/>
    <n v="0"/>
    <n v="0"/>
    <n v="324"/>
    <n v="491"/>
    <n v="2035"/>
    <x v="3"/>
    <m/>
    <m/>
    <m/>
    <m/>
  </r>
  <r>
    <x v="9"/>
    <x v="11"/>
    <x v="109"/>
    <n v="6.8000001909999996"/>
    <n v="6.8000001909999996"/>
    <n v="0"/>
    <n v="1.4199999569999999"/>
    <n v="1.230000019"/>
    <n v="4.1599998469999999"/>
    <n v="0"/>
    <n v="21"/>
    <n v="25"/>
    <n v="231"/>
    <n v="638"/>
    <n v="2099"/>
    <x v="0"/>
    <m/>
    <m/>
    <m/>
    <m/>
  </r>
  <r>
    <x v="9"/>
    <x v="12"/>
    <x v="110"/>
    <n v="6.8200001720000003"/>
    <n v="6.8200001720000003"/>
    <n v="0"/>
    <n v="1.6399999860000001"/>
    <n v="0.47999998900000002"/>
    <n v="4.6799998279999997"/>
    <n v="0"/>
    <n v="18"/>
    <n v="9"/>
    <n v="269"/>
    <n v="696"/>
    <n v="2096"/>
    <x v="0"/>
    <m/>
    <m/>
    <m/>
    <m/>
  </r>
  <r>
    <x v="9"/>
    <x v="13"/>
    <x v="111"/>
    <n v="7.3400001530000001"/>
    <n v="7.3400001530000001"/>
    <n v="0"/>
    <n v="0.89999997600000003"/>
    <n v="2.7599999899999998"/>
    <n v="3.6800000669999999"/>
    <n v="0"/>
    <n v="14"/>
    <n v="46"/>
    <n v="196"/>
    <n v="759"/>
    <n v="2058"/>
    <x v="0"/>
    <m/>
    <m/>
    <m/>
    <m/>
  </r>
  <r>
    <x v="9"/>
    <x v="14"/>
    <x v="112"/>
    <n v="6.8499999049999998"/>
    <n v="6.8499999049999998"/>
    <n v="0"/>
    <n v="0.68000000699999996"/>
    <n v="1.230000019"/>
    <n v="4.9400000569999998"/>
    <n v="0"/>
    <n v="15"/>
    <n v="32"/>
    <n v="315"/>
    <n v="1002"/>
    <n v="2338"/>
    <x v="0"/>
    <m/>
    <m/>
    <m/>
    <m/>
  </r>
  <r>
    <x v="9"/>
    <x v="15"/>
    <x v="113"/>
    <n v="6.75"/>
    <n v="6.75"/>
    <n v="0"/>
    <n v="0.15999999600000001"/>
    <n v="0.34999999399999998"/>
    <n v="6.2300000190000002"/>
    <n v="0"/>
    <n v="2"/>
    <n v="6"/>
    <n v="316"/>
    <n v="711"/>
    <n v="2104"/>
    <x v="0"/>
    <m/>
    <m/>
    <m/>
    <m/>
  </r>
  <r>
    <x v="9"/>
    <x v="16"/>
    <x v="114"/>
    <n v="10.630000109999999"/>
    <n v="10.630000109999999"/>
    <n v="0"/>
    <n v="1.25"/>
    <n v="1.8200000519999999"/>
    <n v="7.5599999430000002"/>
    <n v="0"/>
    <n v="16"/>
    <n v="32"/>
    <n v="401"/>
    <n v="970"/>
    <n v="2488"/>
    <x v="0"/>
    <m/>
    <m/>
    <m/>
    <m/>
  </r>
  <r>
    <x v="9"/>
    <x v="17"/>
    <x v="115"/>
    <n v="6.829999924"/>
    <n v="6.829999924"/>
    <n v="0"/>
    <n v="1.019999981"/>
    <n v="0.119999997"/>
    <n v="5.6900000569999998"/>
    <n v="0"/>
    <n v="12"/>
    <n v="3"/>
    <n v="303"/>
    <n v="463"/>
    <n v="2164"/>
    <x v="0"/>
    <m/>
    <m/>
    <m/>
    <m/>
  </r>
  <r>
    <x v="9"/>
    <x v="18"/>
    <x v="116"/>
    <n v="6.6100001339999999"/>
    <n v="6.6100001339999999"/>
    <n v="0"/>
    <n v="0.33000001299999998"/>
    <n v="2.9300000669999999"/>
    <n v="3.3599998950000001"/>
    <n v="0"/>
    <n v="5"/>
    <n v="52"/>
    <n v="196"/>
    <n v="788"/>
    <n v="2009"/>
    <x v="0"/>
    <m/>
    <m/>
    <m/>
    <m/>
  </r>
  <r>
    <x v="9"/>
    <x v="1"/>
    <x v="53"/>
    <n v="0"/>
    <n v="0"/>
    <n v="0"/>
    <n v="0"/>
    <n v="0"/>
    <n v="0"/>
    <n v="0"/>
    <n v="0"/>
    <n v="0"/>
    <n v="0"/>
    <n v="425"/>
    <n v="399"/>
    <x v="1"/>
    <m/>
    <m/>
    <m/>
    <m/>
  </r>
  <r>
    <x v="11"/>
    <x v="8"/>
    <x v="117"/>
    <n v="0.60000002399999997"/>
    <n v="0.60000002399999997"/>
    <n v="0"/>
    <n v="0"/>
    <n v="0"/>
    <n v="0.60000002399999997"/>
    <n v="0"/>
    <n v="0"/>
    <n v="0"/>
    <n v="41"/>
    <n v="1399"/>
    <n v="1335"/>
    <x v="1"/>
    <m/>
    <m/>
    <m/>
    <m/>
  </r>
  <r>
    <x v="11"/>
    <x v="9"/>
    <x v="118"/>
    <n v="1.4900000099999999"/>
    <n v="1.4900000099999999"/>
    <n v="0"/>
    <n v="0"/>
    <n v="0"/>
    <n v="1.4900000099999999"/>
    <n v="0"/>
    <n v="0"/>
    <n v="0"/>
    <n v="197"/>
    <n v="1243"/>
    <n v="1559"/>
    <x v="1"/>
    <m/>
    <m/>
    <m/>
    <m/>
  </r>
  <r>
    <x v="11"/>
    <x v="10"/>
    <x v="119"/>
    <n v="5.1300001139999996"/>
    <n v="5.1300001139999996"/>
    <n v="0"/>
    <n v="0.189999998"/>
    <n v="0.80000001200000004"/>
    <n v="4.1500000950000002"/>
    <n v="0"/>
    <n v="3"/>
    <n v="15"/>
    <n v="315"/>
    <n v="1107"/>
    <n v="1845"/>
    <x v="2"/>
    <m/>
    <m/>
    <m/>
    <m/>
  </r>
  <r>
    <x v="11"/>
    <x v="11"/>
    <x v="120"/>
    <n v="6.5300002099999999"/>
    <n v="6.5300002099999999"/>
    <n v="0"/>
    <n v="0.34000000400000002"/>
    <n v="0.88999998599999997"/>
    <n v="5.2899999619999996"/>
    <n v="0"/>
    <n v="6"/>
    <n v="24"/>
    <n v="355"/>
    <n v="1055"/>
    <n v="2046"/>
    <x v="2"/>
    <m/>
    <m/>
    <m/>
    <m/>
  </r>
  <r>
    <x v="11"/>
    <x v="12"/>
    <x v="121"/>
    <n v="5.670000076"/>
    <n v="5.670000076"/>
    <n v="0"/>
    <n v="0"/>
    <n v="0"/>
    <n v="5.6500000950000002"/>
    <n v="0.01"/>
    <n v="0"/>
    <n v="0"/>
    <n v="374"/>
    <n v="1066"/>
    <n v="1953"/>
    <x v="2"/>
    <m/>
    <m/>
    <m/>
    <m/>
  </r>
  <r>
    <x v="11"/>
    <x v="13"/>
    <x v="122"/>
    <n v="4.9400000569999998"/>
    <n v="4.9400000569999998"/>
    <n v="0"/>
    <n v="0"/>
    <n v="0"/>
    <n v="4.9400000569999998"/>
    <n v="0"/>
    <n v="0"/>
    <n v="0"/>
    <n v="382"/>
    <n v="1058"/>
    <n v="1910"/>
    <x v="3"/>
    <m/>
    <m/>
    <m/>
    <m/>
  </r>
  <r>
    <x v="11"/>
    <x v="14"/>
    <x v="123"/>
    <n v="6.3099999430000002"/>
    <n v="6.3099999430000002"/>
    <n v="0"/>
    <n v="0.37000000500000002"/>
    <n v="0.689999998"/>
    <n v="5.2399997709999999"/>
    <n v="0"/>
    <n v="5"/>
    <n v="17"/>
    <n v="363"/>
    <n v="1055"/>
    <n v="2035"/>
    <x v="2"/>
    <m/>
    <m/>
    <m/>
    <m/>
  </r>
  <r>
    <x v="11"/>
    <x v="15"/>
    <x v="124"/>
    <n v="4.8099999430000002"/>
    <n v="4.8099999430000002"/>
    <n v="0"/>
    <n v="0"/>
    <n v="0"/>
    <n v="4.8099999430000002"/>
    <n v="0"/>
    <n v="0"/>
    <n v="0"/>
    <n v="380"/>
    <n v="1060"/>
    <n v="1944"/>
    <x v="3"/>
    <m/>
    <m/>
    <m/>
    <m/>
  </r>
  <r>
    <x v="11"/>
    <x v="16"/>
    <x v="125"/>
    <n v="9.5600004199999997"/>
    <n v="9.5600004199999997"/>
    <n v="0"/>
    <n v="3.0199999809999998"/>
    <n v="0.40999999599999998"/>
    <n v="6.1399998660000001"/>
    <n v="0.01"/>
    <n v="46"/>
    <n v="8"/>
    <n v="288"/>
    <n v="1098"/>
    <n v="2257"/>
    <x v="0"/>
    <m/>
    <m/>
    <m/>
    <m/>
  </r>
  <r>
    <x v="11"/>
    <x v="17"/>
    <x v="126"/>
    <n v="3.5499999519999998"/>
    <n v="3.5499999519999998"/>
    <n v="0"/>
    <n v="3.9999999000000001E-2"/>
    <n v="0.34000000400000002"/>
    <n v="3.170000076"/>
    <n v="0"/>
    <n v="1"/>
    <n v="8"/>
    <n v="251"/>
    <n v="1180"/>
    <n v="1724"/>
    <x v="3"/>
    <m/>
    <m/>
    <m/>
    <m/>
  </r>
  <r>
    <x v="11"/>
    <x v="18"/>
    <x v="127"/>
    <n v="5.0399999619999996"/>
    <n v="5.0399999619999996"/>
    <n v="0"/>
    <n v="0"/>
    <n v="0"/>
    <n v="5.0399999619999996"/>
    <n v="0"/>
    <n v="0"/>
    <n v="0"/>
    <n v="357"/>
    <n v="882"/>
    <n v="1741"/>
    <x v="3"/>
    <m/>
    <m/>
    <m/>
    <m/>
  </r>
  <r>
    <x v="11"/>
    <x v="1"/>
    <x v="53"/>
    <n v="0"/>
    <n v="0"/>
    <n v="0"/>
    <n v="0"/>
    <n v="0"/>
    <n v="0"/>
    <n v="0"/>
    <n v="0"/>
    <n v="0"/>
    <n v="0"/>
    <n v="1440"/>
    <n v="0"/>
    <x v="1"/>
    <m/>
    <m/>
    <m/>
    <m/>
  </r>
  <r>
    <x v="12"/>
    <x v="5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6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7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8"/>
    <x v="53"/>
    <n v="0"/>
    <n v="0"/>
    <n v="4.828032017"/>
    <n v="0"/>
    <n v="0"/>
    <n v="0"/>
    <n v="0"/>
    <n v="0"/>
    <n v="660"/>
    <n v="0"/>
    <n v="780"/>
    <n v="4562"/>
    <x v="1"/>
    <m/>
    <m/>
    <m/>
    <m/>
  </r>
  <r>
    <x v="12"/>
    <x v="9"/>
    <x v="128"/>
    <n v="3.2200000289999999"/>
    <n v="0"/>
    <n v="3.2186880109999998"/>
    <n v="0"/>
    <n v="0"/>
    <n v="3.2200000289999999"/>
    <n v="0"/>
    <n v="0"/>
    <n v="0"/>
    <n v="720"/>
    <n v="720"/>
    <n v="2881"/>
    <x v="1"/>
    <m/>
    <m/>
    <m/>
    <m/>
  </r>
  <r>
    <x v="12"/>
    <x v="10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11"/>
    <x v="53"/>
    <n v="0"/>
    <n v="0"/>
    <n v="0"/>
    <n v="0"/>
    <n v="0"/>
    <n v="0"/>
    <n v="0"/>
    <n v="0"/>
    <n v="0"/>
    <n v="0"/>
    <n v="1440"/>
    <n v="1920"/>
    <x v="1"/>
    <m/>
    <m/>
    <m/>
    <m/>
  </r>
  <r>
    <x v="12"/>
    <x v="12"/>
    <x v="129"/>
    <n v="1.6100000139999999"/>
    <n v="0"/>
    <n v="1.6093440059999999"/>
    <n v="0"/>
    <n v="0"/>
    <n v="1.6100000139999999"/>
    <n v="0"/>
    <n v="0"/>
    <n v="0"/>
    <n v="630"/>
    <n v="99"/>
    <n v="1144"/>
    <x v="1"/>
    <m/>
    <m/>
    <m/>
    <m/>
  </r>
  <r>
    <x v="13"/>
    <x v="8"/>
    <x v="130"/>
    <n v="3.9500000480000002"/>
    <n v="3.9500000480000002"/>
    <n v="0"/>
    <n v="0"/>
    <n v="0"/>
    <n v="3.9100000860000002"/>
    <n v="3.9999999000000001E-2"/>
    <n v="0"/>
    <n v="0"/>
    <n v="311"/>
    <n v="1129"/>
    <n v="1852"/>
    <x v="3"/>
    <m/>
    <m/>
    <m/>
    <m/>
  </r>
  <r>
    <x v="13"/>
    <x v="9"/>
    <x v="131"/>
    <n v="5.2300000190000002"/>
    <n v="5.2300000190000002"/>
    <n v="0"/>
    <n v="1.6799999480000001"/>
    <n v="3.9999999000000001E-2"/>
    <n v="3.5"/>
    <n v="0.01"/>
    <n v="24"/>
    <n v="1"/>
    <n v="341"/>
    <n v="1074"/>
    <n v="2069"/>
    <x v="2"/>
    <m/>
    <m/>
    <m/>
    <m/>
  </r>
  <r>
    <x v="13"/>
    <x v="10"/>
    <x v="132"/>
    <n v="3.210000038"/>
    <n v="3.210000038"/>
    <n v="0"/>
    <n v="0"/>
    <n v="0"/>
    <n v="3.210000038"/>
    <n v="0"/>
    <n v="0"/>
    <n v="0"/>
    <n v="299"/>
    <n v="1141"/>
    <n v="1816"/>
    <x v="1"/>
    <m/>
    <m/>
    <m/>
    <m/>
  </r>
  <r>
    <x v="13"/>
    <x v="11"/>
    <x v="133"/>
    <n v="4.0199999809999998"/>
    <n v="4.0199999809999998"/>
    <n v="0"/>
    <n v="1.2999999520000001"/>
    <n v="0.219999999"/>
    <n v="2.4900000100000002"/>
    <n v="0.01"/>
    <n v="20"/>
    <n v="7"/>
    <n v="233"/>
    <n v="1180"/>
    <n v="1878"/>
    <x v="3"/>
    <m/>
    <m/>
    <m/>
    <m/>
  </r>
  <r>
    <x v="13"/>
    <x v="12"/>
    <x v="134"/>
    <n v="3.039999962"/>
    <n v="3.039999962"/>
    <n v="0"/>
    <n v="0"/>
    <n v="0"/>
    <n v="3.0199999809999998"/>
    <n v="2.9999998999999999E-2"/>
    <n v="0"/>
    <n v="0"/>
    <n v="248"/>
    <n v="1192"/>
    <n v="1787"/>
    <x v="1"/>
    <m/>
    <m/>
    <m/>
    <m/>
  </r>
  <r>
    <x v="13"/>
    <x v="13"/>
    <x v="135"/>
    <n v="4.3899998660000001"/>
    <n v="4.3899998660000001"/>
    <n v="0"/>
    <n v="0.77999997099999996"/>
    <n v="9.0000003999999995E-2"/>
    <n v="3.5199999809999998"/>
    <n v="0.01"/>
    <n v="17"/>
    <n v="4"/>
    <n v="325"/>
    <n v="1094"/>
    <n v="2010"/>
    <x v="3"/>
    <m/>
    <m/>
    <m/>
    <m/>
  </r>
  <r>
    <x v="13"/>
    <x v="14"/>
    <x v="136"/>
    <n v="5.0999999049999998"/>
    <n v="5.0999999049999998"/>
    <n v="0"/>
    <n v="0.87000000499999997"/>
    <n v="0.15999999600000001"/>
    <n v="4.0500001909999996"/>
    <n v="0.02"/>
    <n v="14"/>
    <n v="9"/>
    <n v="332"/>
    <n v="1085"/>
    <n v="2038"/>
    <x v="3"/>
    <m/>
    <m/>
    <m/>
    <m/>
  </r>
  <r>
    <x v="13"/>
    <x v="15"/>
    <x v="137"/>
    <n v="3.789999962"/>
    <n v="3.789999962"/>
    <n v="0"/>
    <n v="0"/>
    <n v="0"/>
    <n v="3.7699999809999998"/>
    <n v="0.01"/>
    <n v="0"/>
    <n v="0"/>
    <n v="282"/>
    <n v="1158"/>
    <n v="1815"/>
    <x v="3"/>
    <m/>
    <m/>
    <m/>
    <m/>
  </r>
  <r>
    <x v="13"/>
    <x v="16"/>
    <x v="138"/>
    <n v="6.25"/>
    <n v="6.25"/>
    <n v="0"/>
    <n v="1.769999981"/>
    <n v="0.47999998900000002"/>
    <n v="4"/>
    <n v="0.01"/>
    <n v="21"/>
    <n v="10"/>
    <n v="346"/>
    <n v="1063"/>
    <n v="2062"/>
    <x v="2"/>
    <m/>
    <m/>
    <m/>
    <m/>
  </r>
  <r>
    <x v="13"/>
    <x v="17"/>
    <x v="139"/>
    <n v="3.1800000669999999"/>
    <n v="3.1800000669999999"/>
    <n v="0"/>
    <n v="1.039999962"/>
    <n v="0.15000000599999999"/>
    <n v="1.9900000099999999"/>
    <n v="0"/>
    <n v="22"/>
    <n v="4"/>
    <n v="152"/>
    <n v="735"/>
    <n v="1276"/>
    <x v="1"/>
    <m/>
    <m/>
    <m/>
    <m/>
  </r>
  <r>
    <x v="7"/>
    <x v="8"/>
    <x v="140"/>
    <n v="3.0099999899999998"/>
    <n v="3.0099999899999998"/>
    <n v="0"/>
    <n v="0"/>
    <n v="0"/>
    <n v="3.0099999899999998"/>
    <n v="0"/>
    <n v="0"/>
    <n v="0"/>
    <n v="168"/>
    <n v="842"/>
    <n v="1288"/>
    <x v="1"/>
    <m/>
    <m/>
    <m/>
    <m/>
  </r>
  <r>
    <x v="7"/>
    <x v="9"/>
    <x v="141"/>
    <n v="5.0999999049999998"/>
    <n v="5.0999999049999998"/>
    <n v="0"/>
    <n v="0"/>
    <n v="0.18000000699999999"/>
    <n v="4.9099998469999999"/>
    <n v="0"/>
    <n v="0"/>
    <n v="6"/>
    <n v="302"/>
    <n v="842"/>
    <n v="1490"/>
    <x v="2"/>
    <m/>
    <m/>
    <m/>
    <m/>
  </r>
  <r>
    <x v="7"/>
    <x v="10"/>
    <x v="142"/>
    <n v="7.6999998090000004"/>
    <n v="7.6999998090000004"/>
    <n v="0"/>
    <n v="2.170000076"/>
    <n v="0.83999997400000004"/>
    <n v="4.6900000569999998"/>
    <n v="0"/>
    <n v="29"/>
    <n v="22"/>
    <n v="282"/>
    <n v="748"/>
    <n v="1630"/>
    <x v="0"/>
    <m/>
    <m/>
    <m/>
    <m/>
  </r>
  <r>
    <x v="7"/>
    <x v="11"/>
    <x v="143"/>
    <n v="7.9899997709999999"/>
    <n v="7.9899997709999999"/>
    <n v="0"/>
    <n v="1.0299999710000001"/>
    <n v="2.0099999899999998"/>
    <n v="4.9499998090000004"/>
    <n v="0"/>
    <n v="16"/>
    <n v="43"/>
    <n v="297"/>
    <n v="710"/>
    <n v="1648"/>
    <x v="0"/>
    <m/>
    <m/>
    <m/>
    <m/>
  </r>
  <r>
    <x v="7"/>
    <x v="12"/>
    <x v="144"/>
    <n v="8.2299995419999998"/>
    <n v="8.2299995419999998"/>
    <n v="0"/>
    <n v="1.710000038"/>
    <n v="1.3500000240000001"/>
    <n v="5.170000076"/>
    <n v="0"/>
    <n v="26"/>
    <n v="32"/>
    <n v="291"/>
    <n v="605"/>
    <n v="1649"/>
    <x v="0"/>
    <m/>
    <m/>
    <m/>
    <m/>
  </r>
  <r>
    <x v="7"/>
    <x v="13"/>
    <x v="145"/>
    <n v="10.31999969"/>
    <n v="10.31999969"/>
    <n v="0"/>
    <n v="1.6200000050000001"/>
    <n v="1.8200000519999999"/>
    <n v="6.8699998860000004"/>
    <n v="0"/>
    <n v="24"/>
    <n v="45"/>
    <n v="331"/>
    <n v="614"/>
    <n v="1783"/>
    <x v="0"/>
    <m/>
    <m/>
    <m/>
    <m/>
  </r>
  <r>
    <x v="7"/>
    <x v="14"/>
    <x v="146"/>
    <n v="5.6300001139999996"/>
    <n v="5.6300001139999996"/>
    <n v="0"/>
    <n v="0"/>
    <n v="3.5999999049999998"/>
    <n v="2.039999962"/>
    <n v="0"/>
    <n v="0"/>
    <n v="81"/>
    <n v="139"/>
    <n v="815"/>
    <n v="1431"/>
    <x v="2"/>
    <m/>
    <m/>
    <m/>
    <m/>
  </r>
  <r>
    <x v="7"/>
    <x v="15"/>
    <x v="147"/>
    <n v="6.8400001530000001"/>
    <n v="6.8400001530000001"/>
    <n v="0"/>
    <n v="0"/>
    <n v="4.4400000569999998"/>
    <n v="2.4000000950000002"/>
    <n v="0"/>
    <n v="0"/>
    <n v="101"/>
    <n v="174"/>
    <n v="685"/>
    <n v="1524"/>
    <x v="0"/>
    <m/>
    <m/>
    <m/>
    <m/>
  </r>
  <r>
    <x v="7"/>
    <x v="16"/>
    <x v="148"/>
    <n v="9.7600002289999992"/>
    <n v="9.7600002289999992"/>
    <n v="0"/>
    <n v="2.4800000190000002"/>
    <n v="1.7400000099999999"/>
    <n v="5.5300002099999999"/>
    <n v="0"/>
    <n v="35"/>
    <n v="36"/>
    <n v="254"/>
    <n v="697"/>
    <n v="1697"/>
    <x v="0"/>
    <m/>
    <m/>
    <m/>
    <m/>
  </r>
  <r>
    <x v="7"/>
    <x v="17"/>
    <x v="149"/>
    <n v="2.3900001049999999"/>
    <n v="2.3900001049999999"/>
    <n v="0"/>
    <n v="0.939999998"/>
    <n v="0.40999999599999998"/>
    <n v="0.97000002900000004"/>
    <n v="0"/>
    <n v="15"/>
    <n v="8"/>
    <n v="99"/>
    <n v="866"/>
    <n v="1232"/>
    <x v="1"/>
    <m/>
    <m/>
    <m/>
    <m/>
  </r>
  <r>
    <x v="7"/>
    <x v="18"/>
    <x v="150"/>
    <n v="2.1400001049999999"/>
    <n v="2.1400001049999999"/>
    <n v="0"/>
    <n v="7.0000000000000007E-2"/>
    <n v="3.9999999000000001E-2"/>
    <n v="1.960000038"/>
    <n v="0"/>
    <n v="1"/>
    <n v="1"/>
    <n v="129"/>
    <n v="894"/>
    <n v="1223"/>
    <x v="1"/>
    <m/>
    <m/>
    <m/>
    <m/>
  </r>
  <r>
    <x v="10"/>
    <x v="19"/>
    <x v="151"/>
    <n v="3.9700000289999999"/>
    <n v="3.9700000289999999"/>
    <n v="0"/>
    <n v="0"/>
    <n v="0"/>
    <n v="3.960000038"/>
    <n v="0.01"/>
    <n v="0"/>
    <n v="0"/>
    <n v="254"/>
    <n v="757"/>
    <n v="2990"/>
    <x v="3"/>
    <m/>
    <m/>
    <m/>
    <m/>
  </r>
  <r>
    <x v="10"/>
    <x v="20"/>
    <x v="152"/>
    <n v="2.3099999430000002"/>
    <n v="2.3099999430000002"/>
    <n v="0"/>
    <n v="0"/>
    <n v="0"/>
    <n v="2.2799999710000001"/>
    <n v="0"/>
    <n v="0"/>
    <n v="0"/>
    <n v="136"/>
    <n v="771"/>
    <n v="2480"/>
    <x v="1"/>
    <m/>
    <m/>
    <m/>
    <m/>
  </r>
  <r>
    <x v="14"/>
    <x v="1"/>
    <x v="153"/>
    <n v="0.189999998"/>
    <n v="0.189999998"/>
    <n v="0"/>
    <n v="0"/>
    <n v="0"/>
    <n v="0.189999998"/>
    <n v="0"/>
    <n v="0"/>
    <n v="0"/>
    <n v="20"/>
    <n v="253"/>
    <n v="745"/>
    <x v="1"/>
    <d v="2016-04-12T00:00:00"/>
    <n v="2"/>
    <n v="429"/>
    <n v="457"/>
  </r>
  <r>
    <x v="10"/>
    <x v="21"/>
    <x v="154"/>
    <n v="2.170000076"/>
    <n v="2.170000076"/>
    <n v="0"/>
    <n v="0"/>
    <n v="0"/>
    <n v="2.1400001049999999"/>
    <n v="0"/>
    <n v="0"/>
    <n v="0"/>
    <n v="145"/>
    <n v="1005"/>
    <n v="2570"/>
    <x v="1"/>
    <m/>
    <m/>
    <m/>
    <m/>
  </r>
  <r>
    <x v="10"/>
    <x v="22"/>
    <x v="155"/>
    <n v="4.2300000190000002"/>
    <n v="4.2300000190000002"/>
    <n v="0"/>
    <n v="0"/>
    <n v="0.15999999600000001"/>
    <n v="4.0399999619999996"/>
    <n v="0"/>
    <n v="0"/>
    <n v="10"/>
    <n v="215"/>
    <n v="874"/>
    <n v="3016"/>
    <x v="3"/>
    <m/>
    <m/>
    <m/>
    <m/>
  </r>
  <r>
    <x v="10"/>
    <x v="23"/>
    <x v="156"/>
    <n v="8.9899997710000008"/>
    <n v="8.9899997710000008"/>
    <n v="0"/>
    <n v="1.4500000479999999"/>
    <n v="0.56999999300000004"/>
    <n v="6.9000000950000002"/>
    <n v="0"/>
    <n v="25"/>
    <n v="14"/>
    <n v="309"/>
    <n v="599"/>
    <n v="3830"/>
    <x v="0"/>
    <m/>
    <m/>
    <m/>
    <m/>
  </r>
  <r>
    <x v="10"/>
    <x v="24"/>
    <x v="157"/>
    <n v="6.4099998469999999"/>
    <n v="6.4099998469999999"/>
    <n v="0"/>
    <n v="0"/>
    <n v="0"/>
    <n v="0.61000001400000003"/>
    <n v="3.9999999000000001E-2"/>
    <n v="0"/>
    <n v="0"/>
    <n v="47"/>
    <n v="986"/>
    <n v="3706"/>
    <x v="2"/>
    <m/>
    <m/>
    <m/>
    <m/>
  </r>
  <r>
    <x v="10"/>
    <x v="25"/>
    <x v="158"/>
    <n v="0.25999999000000001"/>
    <n v="0.25999999000000001"/>
    <n v="0"/>
    <n v="0"/>
    <n v="0"/>
    <n v="0"/>
    <n v="0"/>
    <n v="0"/>
    <n v="0"/>
    <n v="0"/>
    <n v="1440"/>
    <n v="2024"/>
    <x v="1"/>
    <m/>
    <m/>
    <m/>
    <m/>
  </r>
  <r>
    <x v="10"/>
    <x v="26"/>
    <x v="159"/>
    <n v="4.0900001530000001"/>
    <n v="4.0900001530000001"/>
    <n v="0"/>
    <n v="0"/>
    <n v="0"/>
    <n v="0"/>
    <n v="0"/>
    <n v="0"/>
    <n v="0"/>
    <n v="0"/>
    <n v="1440"/>
    <n v="2980"/>
    <x v="3"/>
    <m/>
    <m/>
    <m/>
    <m/>
  </r>
  <r>
    <x v="10"/>
    <x v="27"/>
    <x v="160"/>
    <n v="7.4099998469999999"/>
    <n v="7.4099998469999999"/>
    <n v="0"/>
    <n v="0"/>
    <n v="0"/>
    <n v="0"/>
    <n v="0"/>
    <n v="0"/>
    <n v="0"/>
    <n v="0"/>
    <n v="1440"/>
    <n v="3728"/>
    <x v="0"/>
    <m/>
    <m/>
    <m/>
    <m/>
  </r>
  <r>
    <x v="10"/>
    <x v="28"/>
    <x v="161"/>
    <n v="6.2899999619999996"/>
    <n v="6.2899999619999996"/>
    <n v="0"/>
    <n v="0"/>
    <n v="0"/>
    <n v="0"/>
    <n v="0"/>
    <n v="0"/>
    <n v="0"/>
    <n v="0"/>
    <n v="1440"/>
    <n v="3348"/>
    <x v="2"/>
    <m/>
    <m/>
    <m/>
    <m/>
  </r>
  <r>
    <x v="10"/>
    <x v="29"/>
    <x v="162"/>
    <n v="4.7800002099999999"/>
    <n v="4.7800002099999999"/>
    <n v="0"/>
    <n v="0"/>
    <n v="0"/>
    <n v="0"/>
    <n v="0"/>
    <n v="0"/>
    <n v="0"/>
    <n v="0"/>
    <n v="1440"/>
    <n v="3162"/>
    <x v="3"/>
    <m/>
    <m/>
    <m/>
    <m/>
  </r>
  <r>
    <x v="10"/>
    <x v="30"/>
    <x v="163"/>
    <n v="4.5199999809999998"/>
    <n v="4.5199999809999998"/>
    <n v="0"/>
    <n v="0"/>
    <n v="0"/>
    <n v="0"/>
    <n v="0"/>
    <n v="0"/>
    <n v="0"/>
    <n v="0"/>
    <n v="1440"/>
    <n v="3140"/>
    <x v="3"/>
    <m/>
    <m/>
    <m/>
    <m/>
  </r>
  <r>
    <x v="10"/>
    <x v="31"/>
    <x v="164"/>
    <n v="1.4099999670000001"/>
    <n v="1.4099999670000001"/>
    <n v="0"/>
    <n v="0"/>
    <n v="0"/>
    <n v="0"/>
    <n v="0"/>
    <n v="0"/>
    <n v="0"/>
    <n v="0"/>
    <n v="1440"/>
    <n v="1980"/>
    <x v="1"/>
    <m/>
    <m/>
    <m/>
    <m/>
  </r>
  <r>
    <x v="10"/>
    <x v="0"/>
    <x v="165"/>
    <n v="3.9900000100000002"/>
    <n v="3.9900000100000002"/>
    <n v="0"/>
    <n v="0"/>
    <n v="0"/>
    <n v="0"/>
    <n v="0"/>
    <n v="0"/>
    <n v="0"/>
    <n v="0"/>
    <n v="1440"/>
    <n v="3681"/>
    <x v="3"/>
    <m/>
    <m/>
    <m/>
    <m/>
  </r>
  <r>
    <x v="10"/>
    <x v="2"/>
    <x v="166"/>
    <n v="3.130000114"/>
    <n v="3.130000114"/>
    <n v="0"/>
    <n v="0"/>
    <n v="0"/>
    <n v="0"/>
    <n v="0"/>
    <n v="0"/>
    <n v="0"/>
    <n v="0"/>
    <n v="1440"/>
    <n v="3444"/>
    <x v="1"/>
    <m/>
    <m/>
    <m/>
    <m/>
  </r>
  <r>
    <x v="10"/>
    <x v="3"/>
    <x v="167"/>
    <n v="5.1199998860000004"/>
    <n v="5.1199998860000004"/>
    <n v="0"/>
    <n v="0"/>
    <n v="0"/>
    <n v="0"/>
    <n v="0"/>
    <n v="0"/>
    <n v="0"/>
    <n v="0"/>
    <n v="1440"/>
    <n v="3510"/>
    <x v="3"/>
    <m/>
    <m/>
    <m/>
    <m/>
  </r>
  <r>
    <x v="10"/>
    <x v="4"/>
    <x v="168"/>
    <n v="1.5099999900000001"/>
    <n v="1.5099999900000001"/>
    <n v="0"/>
    <n v="0.02"/>
    <n v="5.0000001000000002E-2"/>
    <n v="0.209999993"/>
    <n v="0"/>
    <n v="31"/>
    <n v="45"/>
    <n v="75"/>
    <n v="1289"/>
    <n v="4010"/>
    <x v="1"/>
    <m/>
    <m/>
    <m/>
    <m/>
  </r>
  <r>
    <x v="10"/>
    <x v="5"/>
    <x v="169"/>
    <n v="2.9800000190000002"/>
    <n v="2.9800000190000002"/>
    <n v="0"/>
    <n v="0"/>
    <n v="0"/>
    <n v="2.960000038"/>
    <n v="0"/>
    <n v="0"/>
    <n v="0"/>
    <n v="187"/>
    <n v="1253"/>
    <n v="2976"/>
    <x v="1"/>
    <m/>
    <m/>
    <m/>
    <m/>
  </r>
  <r>
    <x v="10"/>
    <x v="6"/>
    <x v="170"/>
    <n v="3.869999886"/>
    <n v="3.869999886"/>
    <n v="0"/>
    <n v="0"/>
    <n v="0"/>
    <n v="3.8499999049999998"/>
    <n v="0"/>
    <n v="0"/>
    <n v="0"/>
    <n v="258"/>
    <n v="795"/>
    <n v="3418"/>
    <x v="3"/>
    <m/>
    <m/>
    <m/>
    <m/>
  </r>
  <r>
    <x v="10"/>
    <x v="7"/>
    <x v="171"/>
    <n v="5.329999924"/>
    <n v="5.329999924"/>
    <n v="0"/>
    <n v="0.87000000499999997"/>
    <n v="0.920000017"/>
    <n v="3.5099999899999998"/>
    <n v="0"/>
    <n v="18"/>
    <n v="33"/>
    <n v="261"/>
    <n v="860"/>
    <n v="3439"/>
    <x v="3"/>
    <m/>
    <m/>
    <m/>
    <m/>
  </r>
  <r>
    <x v="10"/>
    <x v="8"/>
    <x v="172"/>
    <n v="3.8399999139999998"/>
    <n v="3.8399999139999998"/>
    <n v="0"/>
    <n v="0.62000000499999997"/>
    <n v="0.18000000699999999"/>
    <n v="3.0099999899999998"/>
    <n v="0"/>
    <n v="15"/>
    <n v="17"/>
    <n v="210"/>
    <n v="748"/>
    <n v="3338"/>
    <x v="3"/>
    <m/>
    <m/>
    <m/>
    <m/>
  </r>
  <r>
    <x v="10"/>
    <x v="9"/>
    <x v="173"/>
    <n v="3.0999999049999998"/>
    <n v="3.0999999049999998"/>
    <n v="0"/>
    <n v="9.0000003999999995E-2"/>
    <n v="0.209999993"/>
    <n v="2.7400000100000002"/>
    <n v="3.9999999000000001E-2"/>
    <n v="3"/>
    <n v="15"/>
    <n v="162"/>
    <n v="752"/>
    <n v="2892"/>
    <x v="1"/>
    <m/>
    <m/>
    <m/>
    <m/>
  </r>
  <r>
    <x v="10"/>
    <x v="10"/>
    <x v="174"/>
    <n v="4.3800001139999996"/>
    <n v="4.3800001139999996"/>
    <n v="0"/>
    <n v="0"/>
    <n v="0"/>
    <n v="4.3600001339999999"/>
    <n v="0"/>
    <n v="0"/>
    <n v="0"/>
    <n v="265"/>
    <n v="776"/>
    <n v="3313"/>
    <x v="3"/>
    <m/>
    <m/>
    <m/>
    <m/>
  </r>
  <r>
    <x v="10"/>
    <x v="11"/>
    <x v="175"/>
    <n v="4.5999999049999998"/>
    <n v="4.5999999049999998"/>
    <n v="0"/>
    <n v="0"/>
    <n v="0.94999998799999996"/>
    <n v="3.6500000950000002"/>
    <n v="0"/>
    <n v="0"/>
    <n v="28"/>
    <n v="193"/>
    <n v="741"/>
    <n v="3118"/>
    <x v="3"/>
    <m/>
    <m/>
    <m/>
    <m/>
  </r>
  <r>
    <x v="10"/>
    <x v="12"/>
    <x v="176"/>
    <n v="4.9299998279999997"/>
    <n v="4.9299998279999997"/>
    <n v="0"/>
    <n v="0.5"/>
    <n v="0.75999998999999996"/>
    <n v="3.6500000950000002"/>
    <n v="0"/>
    <n v="7"/>
    <n v="19"/>
    <n v="165"/>
    <n v="1249"/>
    <n v="2966"/>
    <x v="3"/>
    <m/>
    <m/>
    <m/>
    <m/>
  </r>
  <r>
    <x v="10"/>
    <x v="13"/>
    <x v="177"/>
    <n v="5.3600001339999999"/>
    <n v="5.3600001339999999"/>
    <n v="0"/>
    <n v="0"/>
    <n v="0"/>
    <n v="5.3099999430000002"/>
    <n v="0"/>
    <n v="0"/>
    <n v="0"/>
    <n v="263"/>
    <n v="920"/>
    <n v="3253"/>
    <x v="3"/>
    <m/>
    <m/>
    <m/>
    <m/>
  </r>
  <r>
    <x v="10"/>
    <x v="14"/>
    <x v="178"/>
    <n v="4.7199997900000001"/>
    <n v="4.7199997900000001"/>
    <n v="0"/>
    <n v="0"/>
    <n v="0.28999999199999998"/>
    <n v="4.3899998660000001"/>
    <n v="0"/>
    <n v="0"/>
    <n v="8"/>
    <n v="241"/>
    <n v="1191"/>
    <n v="3032"/>
    <x v="3"/>
    <m/>
    <m/>
    <m/>
    <m/>
  </r>
  <r>
    <x v="10"/>
    <x v="15"/>
    <x v="179"/>
    <n v="7.5100002290000001"/>
    <n v="7.5100002290000001"/>
    <n v="0"/>
    <n v="0.40999999599999998"/>
    <n v="1.4700000289999999"/>
    <n v="5.0100002290000001"/>
    <n v="3.9999999000000001E-2"/>
    <n v="6"/>
    <n v="37"/>
    <n v="272"/>
    <n v="1125"/>
    <n v="4034"/>
    <x v="0"/>
    <m/>
    <m/>
    <m/>
    <m/>
  </r>
  <r>
    <x v="10"/>
    <x v="16"/>
    <x v="180"/>
    <n v="5.5500001909999996"/>
    <n v="5.5500001909999996"/>
    <n v="0"/>
    <n v="1.1599999670000001"/>
    <n v="0.49000000999999999"/>
    <n v="3.8199999330000001"/>
    <n v="5.9999998999999998E-2"/>
    <n v="20"/>
    <n v="12"/>
    <n v="223"/>
    <n v="1185"/>
    <n v="3264"/>
    <x v="2"/>
    <m/>
    <m/>
    <m/>
    <m/>
  </r>
  <r>
    <x v="10"/>
    <x v="17"/>
    <x v="181"/>
    <n v="3.6800000669999999"/>
    <n v="3.6800000669999999"/>
    <n v="0"/>
    <n v="0.18000000699999999"/>
    <n v="0.23999999499999999"/>
    <n v="3.210000038"/>
    <n v="0.01"/>
    <n v="5"/>
    <n v="7"/>
    <n v="176"/>
    <n v="1178"/>
    <n v="2817"/>
    <x v="3"/>
    <m/>
    <m/>
    <m/>
    <m/>
  </r>
  <r>
    <x v="10"/>
    <x v="18"/>
    <x v="182"/>
    <n v="2.1500000950000002"/>
    <n v="2.1500000950000002"/>
    <n v="0"/>
    <n v="0"/>
    <n v="0"/>
    <n v="2.0899999139999998"/>
    <n v="0"/>
    <n v="0"/>
    <n v="0"/>
    <n v="114"/>
    <n v="888"/>
    <n v="2507"/>
    <x v="1"/>
    <m/>
    <m/>
    <m/>
    <m/>
  </r>
  <r>
    <x v="15"/>
    <x v="19"/>
    <x v="53"/>
    <n v="0"/>
    <n v="0"/>
    <n v="0"/>
    <n v="0"/>
    <n v="0"/>
    <n v="0"/>
    <n v="0"/>
    <n v="0"/>
    <n v="0"/>
    <n v="0"/>
    <n v="1440"/>
    <n v="1777"/>
    <x v="1"/>
    <m/>
    <m/>
    <m/>
    <m/>
  </r>
  <r>
    <x v="15"/>
    <x v="20"/>
    <x v="53"/>
    <n v="0"/>
    <n v="0"/>
    <n v="0"/>
    <n v="0"/>
    <n v="0"/>
    <n v="0"/>
    <n v="0"/>
    <n v="0"/>
    <n v="0"/>
    <n v="0"/>
    <n v="1440"/>
    <n v="1777"/>
    <x v="1"/>
    <m/>
    <m/>
    <m/>
    <m/>
  </r>
  <r>
    <x v="15"/>
    <x v="21"/>
    <x v="183"/>
    <n v="6.2300000190000002"/>
    <n v="6.2300000190000002"/>
    <n v="0"/>
    <n v="2.4500000480000002"/>
    <n v="0.33000001299999998"/>
    <n v="3.4400000569999998"/>
    <n v="0"/>
    <n v="30"/>
    <n v="7"/>
    <n v="135"/>
    <n v="1268"/>
    <n v="2453"/>
    <x v="2"/>
    <m/>
    <m/>
    <m/>
    <m/>
  </r>
  <r>
    <x v="16"/>
    <x v="1"/>
    <x v="53"/>
    <n v="0"/>
    <n v="0"/>
    <n v="0"/>
    <n v="0"/>
    <n v="0"/>
    <n v="0"/>
    <n v="0"/>
    <n v="0"/>
    <n v="0"/>
    <n v="0"/>
    <n v="1440"/>
    <n v="0"/>
    <x v="1"/>
    <d v="2016-04-12T00:00:00"/>
    <n v="1"/>
    <n v="425"/>
    <n v="439"/>
  </r>
  <r>
    <x v="15"/>
    <x v="22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23"/>
    <x v="184"/>
    <n v="1.559999943"/>
    <n v="1.559999943"/>
    <n v="0"/>
    <n v="0"/>
    <n v="1.2999999520000001"/>
    <n v="0.25999999000000001"/>
    <n v="0"/>
    <n v="0"/>
    <n v="28"/>
    <n v="15"/>
    <n v="1397"/>
    <n v="1935"/>
    <x v="1"/>
    <m/>
    <m/>
    <m/>
    <m/>
  </r>
  <r>
    <x v="15"/>
    <x v="24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25"/>
    <x v="185"/>
    <n v="0.689999998"/>
    <n v="0.689999998"/>
    <n v="0"/>
    <n v="0"/>
    <n v="0"/>
    <n v="0.689999998"/>
    <n v="0"/>
    <n v="0"/>
    <n v="0"/>
    <n v="34"/>
    <n v="1406"/>
    <n v="1870"/>
    <x v="1"/>
    <m/>
    <m/>
    <m/>
    <m/>
  </r>
  <r>
    <x v="15"/>
    <x v="26"/>
    <x v="53"/>
    <n v="0"/>
    <n v="0"/>
    <n v="0"/>
    <n v="0"/>
    <n v="0"/>
    <n v="0"/>
    <n v="0"/>
    <n v="0"/>
    <n v="0"/>
    <n v="0"/>
    <n v="1440"/>
    <n v="1777"/>
    <x v="1"/>
    <m/>
    <m/>
    <m/>
    <m/>
  </r>
  <r>
    <x v="15"/>
    <x v="27"/>
    <x v="186"/>
    <n v="2.9999998999999999E-2"/>
    <n v="2.9999998999999999E-2"/>
    <n v="0"/>
    <n v="0"/>
    <n v="0"/>
    <n v="2.9999998999999999E-2"/>
    <n v="0"/>
    <n v="0"/>
    <n v="0"/>
    <n v="2"/>
    <n v="1438"/>
    <n v="1782"/>
    <x v="1"/>
    <m/>
    <m/>
    <m/>
    <m/>
  </r>
  <r>
    <x v="15"/>
    <x v="28"/>
    <x v="187"/>
    <n v="1.940000057"/>
    <n v="1.940000057"/>
    <n v="0"/>
    <n v="0"/>
    <n v="0"/>
    <n v="1.940000057"/>
    <n v="0"/>
    <n v="0"/>
    <n v="0"/>
    <n v="46"/>
    <n v="1394"/>
    <n v="1978"/>
    <x v="1"/>
    <m/>
    <m/>
    <m/>
    <m/>
  </r>
  <r>
    <x v="15"/>
    <x v="29"/>
    <x v="188"/>
    <n v="4.1900000569999998"/>
    <n v="4.1900000569999998"/>
    <n v="0"/>
    <n v="0"/>
    <n v="0"/>
    <n v="4.0700001720000003"/>
    <n v="0"/>
    <n v="0"/>
    <n v="0"/>
    <n v="169"/>
    <n v="1271"/>
    <n v="2296"/>
    <x v="3"/>
    <m/>
    <m/>
    <m/>
    <m/>
  </r>
  <r>
    <x v="15"/>
    <x v="30"/>
    <x v="189"/>
    <n v="5.3400001530000001"/>
    <n v="5.3400001530000001"/>
    <n v="0"/>
    <n v="0.55000001200000004"/>
    <n v="0.36000001399999998"/>
    <n v="4.3800001139999996"/>
    <n v="0"/>
    <n v="7"/>
    <n v="7"/>
    <n v="190"/>
    <n v="1236"/>
    <n v="2484"/>
    <x v="3"/>
    <m/>
    <m/>
    <m/>
    <m/>
  </r>
  <r>
    <x v="15"/>
    <x v="31"/>
    <x v="54"/>
    <n v="0.01"/>
    <n v="0.01"/>
    <n v="0"/>
    <n v="0"/>
    <n v="0"/>
    <n v="0.01"/>
    <n v="0"/>
    <n v="0"/>
    <n v="0"/>
    <n v="1"/>
    <n v="1439"/>
    <n v="1787"/>
    <x v="1"/>
    <m/>
    <m/>
    <m/>
    <m/>
  </r>
  <r>
    <x v="15"/>
    <x v="0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2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3"/>
    <x v="190"/>
    <n v="1.6799999480000001"/>
    <n v="1.6799999480000001"/>
    <n v="0"/>
    <n v="0"/>
    <n v="0"/>
    <n v="1.6599999670000001"/>
    <n v="0"/>
    <n v="0"/>
    <n v="0"/>
    <n v="86"/>
    <n v="1354"/>
    <n v="2005"/>
    <x v="1"/>
    <m/>
    <m/>
    <m/>
    <m/>
  </r>
  <r>
    <x v="15"/>
    <x v="4"/>
    <x v="104"/>
    <n v="0.01"/>
    <n v="0.01"/>
    <n v="0"/>
    <n v="0"/>
    <n v="0"/>
    <n v="0.01"/>
    <n v="0"/>
    <n v="0"/>
    <n v="0"/>
    <n v="1"/>
    <n v="1439"/>
    <n v="1778"/>
    <x v="1"/>
    <m/>
    <m/>
    <m/>
    <m/>
  </r>
  <r>
    <x v="15"/>
    <x v="5"/>
    <x v="191"/>
    <n v="3.7599999899999998"/>
    <n v="3.7599999899999998"/>
    <n v="0"/>
    <n v="0"/>
    <n v="0"/>
    <n v="3.7599999899999998"/>
    <n v="0"/>
    <n v="0"/>
    <n v="0"/>
    <n v="160"/>
    <n v="1280"/>
    <n v="2293"/>
    <x v="3"/>
    <m/>
    <m/>
    <m/>
    <m/>
  </r>
  <r>
    <x v="15"/>
    <x v="6"/>
    <x v="192"/>
    <n v="4"/>
    <n v="4.5700001720000003"/>
    <n v="5.5842998999999997E-2"/>
    <n v="0"/>
    <n v="0"/>
    <n v="3.9100000860000002"/>
    <n v="5.9999998999999998E-2"/>
    <n v="0"/>
    <n v="0"/>
    <n v="145"/>
    <n v="1295"/>
    <n v="2259"/>
    <x v="3"/>
    <m/>
    <m/>
    <m/>
    <m/>
  </r>
  <r>
    <x v="15"/>
    <x v="7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8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9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10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11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12"/>
    <x v="53"/>
    <n v="0"/>
    <n v="0"/>
    <n v="0"/>
    <n v="0"/>
    <n v="0"/>
    <n v="0"/>
    <n v="0"/>
    <n v="0"/>
    <n v="0"/>
    <n v="0"/>
    <n v="1440"/>
    <n v="1776"/>
    <x v="1"/>
    <m/>
    <m/>
    <m/>
    <m/>
  </r>
  <r>
    <x v="15"/>
    <x v="13"/>
    <x v="193"/>
    <n v="0.01"/>
    <n v="0.01"/>
    <n v="0"/>
    <n v="0"/>
    <n v="0"/>
    <n v="0.01"/>
    <n v="0"/>
    <n v="0"/>
    <n v="0"/>
    <n v="2"/>
    <n v="1438"/>
    <n v="1780"/>
    <x v="1"/>
    <m/>
    <m/>
    <m/>
    <m/>
  </r>
  <r>
    <x v="15"/>
    <x v="14"/>
    <x v="194"/>
    <n v="0"/>
    <n v="0"/>
    <n v="0"/>
    <n v="0"/>
    <n v="0"/>
    <n v="0"/>
    <n v="0"/>
    <n v="0"/>
    <n v="0"/>
    <n v="1"/>
    <n v="1439"/>
    <n v="1778"/>
    <x v="1"/>
    <m/>
    <m/>
    <m/>
    <m/>
  </r>
  <r>
    <x v="15"/>
    <x v="15"/>
    <x v="195"/>
    <n v="6.1599998469999999"/>
    <n v="6.1599998469999999"/>
    <n v="0"/>
    <n v="0.12999999500000001"/>
    <n v="5.4899997709999999"/>
    <n v="0.540000021"/>
    <n v="0"/>
    <n v="2"/>
    <n v="120"/>
    <n v="25"/>
    <n v="1293"/>
    <n v="2360"/>
    <x v="2"/>
    <m/>
    <m/>
    <m/>
    <m/>
  </r>
  <r>
    <x v="15"/>
    <x v="16"/>
    <x v="196"/>
    <n v="1.210000038"/>
    <n v="1.210000038"/>
    <n v="0"/>
    <n v="0"/>
    <n v="0"/>
    <n v="1.210000038"/>
    <n v="0"/>
    <n v="0"/>
    <n v="0"/>
    <n v="60"/>
    <n v="1380"/>
    <n v="1952"/>
    <x v="1"/>
    <m/>
    <m/>
    <m/>
    <m/>
  </r>
  <r>
    <x v="15"/>
    <x v="17"/>
    <x v="197"/>
    <n v="2.5099999899999998"/>
    <n v="2.5099999899999998"/>
    <n v="0"/>
    <n v="7.0000000000000007E-2"/>
    <n v="0.30000001199999998"/>
    <n v="2.1400001049999999"/>
    <n v="0"/>
    <n v="1"/>
    <n v="7"/>
    <n v="108"/>
    <n v="1324"/>
    <n v="2101"/>
    <x v="1"/>
    <m/>
    <m/>
    <m/>
    <m/>
  </r>
  <r>
    <x v="17"/>
    <x v="1"/>
    <x v="198"/>
    <n v="2.2400000100000002"/>
    <n v="2.2400000100000002"/>
    <n v="0"/>
    <n v="0.5"/>
    <n v="0.670000017"/>
    <n v="1.0499999520000001"/>
    <n v="0"/>
    <n v="7"/>
    <n v="11"/>
    <n v="50"/>
    <n v="61"/>
    <n v="633"/>
    <x v="1"/>
    <d v="2016-04-12T00:00:00"/>
    <n v="1"/>
    <n v="441"/>
    <n v="464"/>
  </r>
  <r>
    <x v="15"/>
    <x v="18"/>
    <x v="199"/>
    <n v="4.9800000190000002"/>
    <n v="4.9800000190000002"/>
    <n v="0"/>
    <n v="0"/>
    <n v="0"/>
    <n v="4.9699997900000001"/>
    <n v="0"/>
    <n v="0"/>
    <n v="0"/>
    <n v="193"/>
    <n v="1247"/>
    <n v="2393"/>
    <x v="3"/>
    <m/>
    <m/>
    <m/>
    <m/>
  </r>
  <r>
    <x v="15"/>
    <x v="1"/>
    <x v="200"/>
    <n v="0.14000000100000001"/>
    <n v="0.14000000100000001"/>
    <n v="0"/>
    <n v="0"/>
    <n v="0"/>
    <n v="0.14000000100000001"/>
    <n v="0"/>
    <n v="0"/>
    <n v="0"/>
    <n v="11"/>
    <n v="400"/>
    <n v="538"/>
    <x v="1"/>
    <m/>
    <m/>
    <m/>
    <m/>
  </r>
  <r>
    <x v="18"/>
    <x v="5"/>
    <x v="201"/>
    <n v="3.789999962"/>
    <n v="3.789999962"/>
    <n v="0"/>
    <n v="0.23000000400000001"/>
    <n v="0.33000001299999998"/>
    <n v="3.2300000190000002"/>
    <n v="0"/>
    <n v="3"/>
    <n v="8"/>
    <n v="199"/>
    <n v="683"/>
    <n v="1958"/>
    <x v="3"/>
    <m/>
    <m/>
    <m/>
    <m/>
  </r>
  <r>
    <x v="18"/>
    <x v="6"/>
    <x v="202"/>
    <n v="6.0700001720000003"/>
    <n v="6.0700001720000003"/>
    <n v="0"/>
    <n v="0.25"/>
    <n v="0.43000000700000002"/>
    <n v="5.3699998860000004"/>
    <n v="0"/>
    <n v="4"/>
    <n v="12"/>
    <n v="244"/>
    <n v="702"/>
    <n v="2141"/>
    <x v="2"/>
    <m/>
    <m/>
    <m/>
    <m/>
  </r>
  <r>
    <x v="18"/>
    <x v="7"/>
    <x v="203"/>
    <n v="5.4600000380000004"/>
    <n v="5.4600000380000004"/>
    <n v="0"/>
    <n v="0.25"/>
    <n v="0.61000001400000003"/>
    <n v="4.6100001339999999"/>
    <n v="0"/>
    <n v="4"/>
    <n v="17"/>
    <n v="247"/>
    <n v="1125"/>
    <n v="2129"/>
    <x v="2"/>
    <m/>
    <m/>
    <m/>
    <m/>
  </r>
  <r>
    <x v="18"/>
    <x v="8"/>
    <x v="204"/>
    <n v="6.2699999809999998"/>
    <n v="6.2699999809999998"/>
    <n v="0"/>
    <n v="0.959999979"/>
    <n v="0.85000002399999997"/>
    <n v="4.4600000380000004"/>
    <n v="0"/>
    <n v="14"/>
    <n v="20"/>
    <n v="268"/>
    <n v="654"/>
    <n v="2216"/>
    <x v="2"/>
    <m/>
    <m/>
    <m/>
    <m/>
  </r>
  <r>
    <x v="18"/>
    <x v="9"/>
    <x v="205"/>
    <n v="5.6599998469999999"/>
    <n v="5.6599998469999999"/>
    <n v="0"/>
    <n v="1.1299999949999999"/>
    <n v="0.189999998"/>
    <n v="4.3400001530000001"/>
    <n v="0"/>
    <n v="15"/>
    <n v="4"/>
    <n v="257"/>
    <n v="621"/>
    <n v="2154"/>
    <x v="2"/>
    <m/>
    <m/>
    <m/>
    <m/>
  </r>
  <r>
    <x v="18"/>
    <x v="10"/>
    <x v="206"/>
    <n v="5.5199999809999998"/>
    <n v="5.5199999809999998"/>
    <n v="0"/>
    <n v="0.80000001200000004"/>
    <n v="1.5099999900000001"/>
    <n v="3.210000038"/>
    <n v="0"/>
    <n v="12"/>
    <n v="37"/>
    <n v="257"/>
    <n v="551"/>
    <n v="2178"/>
    <x v="2"/>
    <m/>
    <m/>
    <m/>
    <m/>
  </r>
  <r>
    <x v="18"/>
    <x v="11"/>
    <x v="207"/>
    <n v="6.7600002290000001"/>
    <n v="6.7600002290000001"/>
    <n v="0"/>
    <n v="0.36000001399999998"/>
    <n v="1.4199999569999999"/>
    <n v="4.9699997900000001"/>
    <n v="0"/>
    <n v="5"/>
    <n v="39"/>
    <n v="313"/>
    <n v="578"/>
    <n v="2308"/>
    <x v="0"/>
    <m/>
    <m/>
    <m/>
    <m/>
  </r>
  <r>
    <x v="18"/>
    <x v="12"/>
    <x v="208"/>
    <n v="5.6300001139999996"/>
    <n v="5.6300001139999996"/>
    <n v="0"/>
    <n v="0.23000000400000001"/>
    <n v="0.52999997099999996"/>
    <n v="4.8699998860000004"/>
    <n v="0"/>
    <n v="3"/>
    <n v="14"/>
    <n v="311"/>
    <n v="638"/>
    <n v="2201"/>
    <x v="2"/>
    <m/>
    <m/>
    <m/>
    <m/>
  </r>
  <r>
    <x v="18"/>
    <x v="13"/>
    <x v="209"/>
    <n v="7.3499999049999998"/>
    <n v="7.3499999049999998"/>
    <n v="0"/>
    <n v="0.540000021"/>
    <n v="2.0899999139999998"/>
    <n v="4.7199997900000001"/>
    <n v="0"/>
    <n v="8"/>
    <n v="51"/>
    <n v="308"/>
    <n v="569"/>
    <n v="2341"/>
    <x v="0"/>
    <m/>
    <m/>
    <m/>
    <m/>
  </r>
  <r>
    <x v="18"/>
    <x v="14"/>
    <x v="210"/>
    <n v="6.1500000950000002"/>
    <n v="6.1500000950000002"/>
    <n v="0"/>
    <n v="0.5"/>
    <n v="0.37999999499999998"/>
    <n v="5.2699999809999998"/>
    <n v="0"/>
    <n v="7"/>
    <n v="11"/>
    <n v="304"/>
    <n v="668"/>
    <n v="2236"/>
    <x v="2"/>
    <m/>
    <m/>
    <m/>
    <m/>
  </r>
  <r>
    <x v="18"/>
    <x v="15"/>
    <x v="211"/>
    <n v="4.4099998469999999"/>
    <n v="4.4099998469999999"/>
    <n v="0"/>
    <n v="0.28999999199999998"/>
    <n v="0.25999999000000001"/>
    <n v="3.8599998950000001"/>
    <n v="0"/>
    <n v="4"/>
    <n v="6"/>
    <n v="276"/>
    <n v="1132"/>
    <n v="2069"/>
    <x v="3"/>
    <m/>
    <m/>
    <m/>
    <m/>
  </r>
  <r>
    <x v="18"/>
    <x v="16"/>
    <x v="53"/>
    <n v="0"/>
    <n v="0"/>
    <n v="0"/>
    <n v="0"/>
    <n v="0"/>
    <n v="0"/>
    <n v="0"/>
    <n v="0"/>
    <n v="0"/>
    <n v="0"/>
    <n v="1440"/>
    <n v="0"/>
    <x v="1"/>
    <m/>
    <m/>
    <m/>
    <m/>
  </r>
  <r>
    <x v="19"/>
    <x v="5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6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7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8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9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10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11"/>
    <x v="53"/>
    <n v="0"/>
    <n v="0"/>
    <n v="0"/>
    <n v="0"/>
    <n v="0"/>
    <n v="0"/>
    <n v="0"/>
    <n v="0"/>
    <n v="0"/>
    <n v="0"/>
    <n v="1440"/>
    <n v="1878"/>
    <x v="1"/>
    <m/>
    <m/>
    <m/>
    <m/>
  </r>
  <r>
    <x v="19"/>
    <x v="12"/>
    <x v="53"/>
    <n v="0"/>
    <n v="0"/>
    <n v="0"/>
    <n v="0"/>
    <n v="0"/>
    <n v="0"/>
    <n v="0"/>
    <n v="0"/>
    <n v="0"/>
    <n v="0"/>
    <n v="994"/>
    <n v="1296"/>
    <x v="1"/>
    <m/>
    <m/>
    <m/>
    <m/>
  </r>
  <r>
    <x v="14"/>
    <x v="5"/>
    <x v="212"/>
    <n v="1.5499999520000001"/>
    <n v="1.5499999520000001"/>
    <n v="0"/>
    <n v="0"/>
    <n v="0"/>
    <n v="1.5499999520000001"/>
    <n v="0"/>
    <n v="0"/>
    <n v="0"/>
    <n v="155"/>
    <n v="807"/>
    <n v="2010"/>
    <x v="1"/>
    <m/>
    <m/>
    <m/>
    <m/>
  </r>
  <r>
    <x v="14"/>
    <x v="6"/>
    <x v="213"/>
    <n v="1.7400000099999999"/>
    <n v="1.7400000099999999"/>
    <n v="0"/>
    <n v="0"/>
    <n v="0"/>
    <n v="1.7400000099999999"/>
    <n v="0"/>
    <n v="0"/>
    <n v="0"/>
    <n v="163"/>
    <n v="1277"/>
    <n v="2032"/>
    <x v="1"/>
    <m/>
    <m/>
    <m/>
    <m/>
  </r>
  <r>
    <x v="14"/>
    <x v="7"/>
    <x v="214"/>
    <n v="3.2200000289999999"/>
    <n v="3.2200000289999999"/>
    <n v="0"/>
    <n v="0"/>
    <n v="0"/>
    <n v="3.2200000289999999"/>
    <n v="0"/>
    <n v="0"/>
    <n v="0"/>
    <n v="238"/>
    <n v="786"/>
    <n v="2227"/>
    <x v="1"/>
    <m/>
    <m/>
    <m/>
    <m/>
  </r>
  <r>
    <x v="14"/>
    <x v="8"/>
    <x v="215"/>
    <n v="2.1900000569999998"/>
    <n v="2.1900000569999998"/>
    <n v="0"/>
    <n v="0"/>
    <n v="0"/>
    <n v="2.1900000569999998"/>
    <n v="0"/>
    <n v="0"/>
    <n v="0"/>
    <n v="205"/>
    <n v="898"/>
    <n v="2133"/>
    <x v="1"/>
    <m/>
    <m/>
    <m/>
    <m/>
  </r>
  <r>
    <x v="14"/>
    <x v="9"/>
    <x v="216"/>
    <n v="3.630000114"/>
    <n v="3.630000114"/>
    <n v="0"/>
    <n v="0"/>
    <n v="0"/>
    <n v="3.6099998950000001"/>
    <n v="0"/>
    <n v="0"/>
    <n v="0"/>
    <n v="273"/>
    <n v="672"/>
    <n v="2317"/>
    <x v="3"/>
    <m/>
    <m/>
    <m/>
    <m/>
  </r>
  <r>
    <x v="14"/>
    <x v="10"/>
    <x v="217"/>
    <n v="2.1099998950000001"/>
    <n v="2.1099998950000001"/>
    <n v="0"/>
    <n v="0"/>
    <n v="0"/>
    <n v="2.1099998950000001"/>
    <n v="0"/>
    <n v="0"/>
    <n v="0"/>
    <n v="171"/>
    <n v="1269"/>
    <n v="2058"/>
    <x v="1"/>
    <m/>
    <m/>
    <m/>
    <m/>
  </r>
  <r>
    <x v="14"/>
    <x v="11"/>
    <x v="218"/>
    <n v="1.6299999949999999"/>
    <n v="1.6299999949999999"/>
    <n v="0"/>
    <n v="0"/>
    <n v="0"/>
    <n v="1.6299999949999999"/>
    <n v="0"/>
    <n v="0"/>
    <n v="0"/>
    <n v="110"/>
    <n v="1330"/>
    <n v="1935"/>
    <x v="1"/>
    <m/>
    <m/>
    <m/>
    <m/>
  </r>
  <r>
    <x v="14"/>
    <x v="12"/>
    <x v="219"/>
    <n v="2.8399999139999998"/>
    <n v="2.8399999139999998"/>
    <n v="0"/>
    <n v="5.9999998999999998E-2"/>
    <n v="0.23999999499999999"/>
    <n v="2.5299999710000001"/>
    <n v="0"/>
    <n v="1"/>
    <n v="6"/>
    <n v="235"/>
    <n v="702"/>
    <n v="2217"/>
    <x v="1"/>
    <m/>
    <m/>
    <m/>
    <m/>
  </r>
  <r>
    <x v="14"/>
    <x v="13"/>
    <x v="220"/>
    <n v="4.7800002099999999"/>
    <n v="4.7800002099999999"/>
    <n v="0"/>
    <n v="2.3199999330000001"/>
    <n v="0.10000000100000001"/>
    <n v="2.3599998950000001"/>
    <n v="0"/>
    <n v="28"/>
    <n v="2"/>
    <n v="215"/>
    <n v="745"/>
    <n v="2374"/>
    <x v="3"/>
    <m/>
    <m/>
    <m/>
    <m/>
  </r>
  <r>
    <x v="14"/>
    <x v="14"/>
    <x v="221"/>
    <n v="4.6100001339999999"/>
    <n v="4.6100001339999999"/>
    <n v="0"/>
    <n v="2.0199999809999998"/>
    <n v="5.0000001000000002E-2"/>
    <n v="2.5499999519999998"/>
    <n v="0"/>
    <n v="24"/>
    <n v="1"/>
    <n v="208"/>
    <n v="939"/>
    <n v="2335"/>
    <x v="3"/>
    <m/>
    <m/>
    <m/>
    <m/>
  </r>
  <r>
    <x v="14"/>
    <x v="15"/>
    <x v="151"/>
    <n v="3.7200000289999999"/>
    <n v="3.7200000289999999"/>
    <n v="0"/>
    <n v="0"/>
    <n v="0"/>
    <n v="3.7200000289999999"/>
    <n v="0"/>
    <n v="0"/>
    <n v="0"/>
    <n v="266"/>
    <n v="941"/>
    <n v="2303"/>
    <x v="3"/>
    <m/>
    <m/>
    <m/>
    <m/>
  </r>
  <r>
    <x v="14"/>
    <x v="16"/>
    <x v="222"/>
    <n v="2.8099999430000002"/>
    <n v="2.8099999430000002"/>
    <n v="0"/>
    <n v="0"/>
    <n v="0"/>
    <n v="2.8099999430000002"/>
    <n v="0"/>
    <n v="0"/>
    <n v="0"/>
    <n v="239"/>
    <n v="758"/>
    <n v="2210"/>
    <x v="1"/>
    <m/>
    <m/>
    <m/>
    <m/>
  </r>
  <r>
    <x v="14"/>
    <x v="17"/>
    <x v="223"/>
    <n v="4.4499998090000004"/>
    <n v="4.4499998090000004"/>
    <n v="0"/>
    <n v="0"/>
    <n v="0"/>
    <n v="4.4499998090000004"/>
    <n v="0"/>
    <n v="0"/>
    <n v="0"/>
    <n v="316"/>
    <n v="755"/>
    <n v="2424"/>
    <x v="3"/>
    <m/>
    <m/>
    <m/>
    <m/>
  </r>
  <r>
    <x v="14"/>
    <x v="18"/>
    <x v="224"/>
    <n v="4.1300001139999996"/>
    <n v="4.1300001139999996"/>
    <n v="0"/>
    <n v="1.9500000479999999"/>
    <n v="0.23000000400000001"/>
    <n v="1.9500000479999999"/>
    <n v="0"/>
    <n v="23"/>
    <n v="5"/>
    <n v="195"/>
    <n v="789"/>
    <n v="2297"/>
    <x v="3"/>
    <m/>
    <m/>
    <m/>
    <m/>
  </r>
  <r>
    <x v="20"/>
    <x v="8"/>
    <x v="225"/>
    <n v="3.5299999710000001"/>
    <n v="3.5299999710000001"/>
    <n v="0"/>
    <n v="0"/>
    <n v="0"/>
    <n v="3.5299999710000001"/>
    <n v="0"/>
    <n v="0"/>
    <n v="0"/>
    <n v="258"/>
    <n v="1182"/>
    <n v="1902"/>
    <x v="3"/>
    <m/>
    <m/>
    <m/>
    <m/>
  </r>
  <r>
    <x v="20"/>
    <x v="9"/>
    <x v="226"/>
    <n v="2.0999999049999998"/>
    <n v="2.0999999049999998"/>
    <n v="0"/>
    <n v="0"/>
    <n v="0"/>
    <n v="2.0999999049999998"/>
    <n v="0"/>
    <n v="0"/>
    <n v="0"/>
    <n v="173"/>
    <n v="1180"/>
    <n v="1680"/>
    <x v="1"/>
    <m/>
    <m/>
    <m/>
    <m/>
  </r>
  <r>
    <x v="20"/>
    <x v="10"/>
    <x v="227"/>
    <n v="4.079999924"/>
    <n v="4.079999924"/>
    <n v="0"/>
    <n v="7.0000000000000007E-2"/>
    <n v="0.25999999000000001"/>
    <n v="3.75"/>
    <n v="0"/>
    <n v="1"/>
    <n v="7"/>
    <n v="269"/>
    <n v="886"/>
    <n v="1901"/>
    <x v="3"/>
    <m/>
    <m/>
    <m/>
    <m/>
  </r>
  <r>
    <x v="20"/>
    <x v="11"/>
    <x v="228"/>
    <n v="5.420000076"/>
    <n v="5.420000076"/>
    <n v="0"/>
    <n v="0"/>
    <n v="0"/>
    <n v="5.420000076"/>
    <n v="0"/>
    <n v="0"/>
    <n v="0"/>
    <n v="367"/>
    <n v="1073"/>
    <n v="2078"/>
    <x v="2"/>
    <m/>
    <m/>
    <m/>
    <m/>
  </r>
  <r>
    <x v="20"/>
    <x v="12"/>
    <x v="229"/>
    <n v="4.4899997709999999"/>
    <n v="4.4899997709999999"/>
    <n v="0"/>
    <n v="1.5900000329999999"/>
    <n v="0.86000001400000003"/>
    <n v="2.039999962"/>
    <n v="0"/>
    <n v="24"/>
    <n v="14"/>
    <n v="185"/>
    <n v="1217"/>
    <n v="1876"/>
    <x v="3"/>
    <m/>
    <m/>
    <m/>
    <m/>
  </r>
  <r>
    <x v="20"/>
    <x v="13"/>
    <x v="230"/>
    <n v="3.75"/>
    <n v="3.75"/>
    <n v="0"/>
    <n v="0"/>
    <n v="0"/>
    <n v="3.75"/>
    <n v="0"/>
    <n v="0"/>
    <n v="0"/>
    <n v="259"/>
    <n v="1181"/>
    <n v="1853"/>
    <x v="3"/>
    <m/>
    <m/>
    <m/>
    <m/>
  </r>
  <r>
    <x v="20"/>
    <x v="14"/>
    <x v="231"/>
    <n v="5.2899999619999996"/>
    <n v="5.2899999619999996"/>
    <n v="0"/>
    <n v="0.50999998999999996"/>
    <n v="0.25"/>
    <n v="4.5300002099999999"/>
    <n v="0"/>
    <n v="27"/>
    <n v="12"/>
    <n v="296"/>
    <n v="1105"/>
    <n v="2235"/>
    <x v="2"/>
    <m/>
    <m/>
    <m/>
    <m/>
  </r>
  <r>
    <x v="20"/>
    <x v="15"/>
    <x v="222"/>
    <n v="2.7699999809999998"/>
    <n v="2.7699999809999998"/>
    <n v="0"/>
    <n v="0"/>
    <n v="0"/>
    <n v="2.7699999809999998"/>
    <n v="0"/>
    <n v="0"/>
    <n v="0"/>
    <n v="241"/>
    <n v="1199"/>
    <n v="1778"/>
    <x v="1"/>
    <m/>
    <m/>
    <m/>
    <m/>
  </r>
  <r>
    <x v="20"/>
    <x v="16"/>
    <x v="232"/>
    <n v="3.6400001049999999"/>
    <n v="3.6400001049999999"/>
    <n v="0"/>
    <n v="0"/>
    <n v="0"/>
    <n v="3.6400001049999999"/>
    <n v="0"/>
    <n v="0"/>
    <n v="0"/>
    <n v="276"/>
    <n v="1164"/>
    <n v="1882"/>
    <x v="3"/>
    <m/>
    <m/>
    <m/>
    <m/>
  </r>
  <r>
    <x v="20"/>
    <x v="17"/>
    <x v="233"/>
    <n v="4.1399998660000001"/>
    <n v="4.1399998660000001"/>
    <n v="0"/>
    <n v="0"/>
    <n v="0"/>
    <n v="4.1300001139999996"/>
    <n v="0"/>
    <n v="0"/>
    <n v="0"/>
    <n v="290"/>
    <n v="1150"/>
    <n v="1906"/>
    <x v="3"/>
    <m/>
    <m/>
    <m/>
    <m/>
  </r>
  <r>
    <x v="20"/>
    <x v="18"/>
    <x v="234"/>
    <n v="5.8400001530000001"/>
    <n v="5.8400001530000001"/>
    <n v="0"/>
    <n v="0"/>
    <n v="0"/>
    <n v="5.8400001530000001"/>
    <n v="0"/>
    <n v="0"/>
    <n v="0"/>
    <n v="308"/>
    <n v="1132"/>
    <n v="2149"/>
    <x v="2"/>
    <m/>
    <m/>
    <m/>
    <m/>
  </r>
  <r>
    <x v="20"/>
    <x v="1"/>
    <x v="235"/>
    <n v="0.829999983"/>
    <n v="0.829999983"/>
    <n v="0"/>
    <n v="0"/>
    <n v="0"/>
    <n v="0.81999999300000004"/>
    <n v="0"/>
    <n v="0"/>
    <n v="0"/>
    <n v="76"/>
    <n v="555"/>
    <n v="722"/>
    <x v="1"/>
    <m/>
    <m/>
    <m/>
    <m/>
  </r>
  <r>
    <x v="16"/>
    <x v="5"/>
    <x v="236"/>
    <n v="5.2800002099999999"/>
    <n v="5.2800002099999999"/>
    <n v="0"/>
    <n v="0.33000001299999998"/>
    <n v="0.27000001099999998"/>
    <n v="4.670000076"/>
    <n v="0"/>
    <n v="4"/>
    <n v="5"/>
    <n v="241"/>
    <n v="760"/>
    <n v="2886"/>
    <x v="3"/>
    <m/>
    <m/>
    <m/>
    <m/>
  </r>
  <r>
    <x v="16"/>
    <x v="6"/>
    <x v="237"/>
    <n v="6.1500000950000002"/>
    <n v="6.1500000950000002"/>
    <n v="0"/>
    <n v="0.25"/>
    <n v="0.55000001200000004"/>
    <n v="5.3499999049999998"/>
    <n v="0"/>
    <n v="3"/>
    <n v="13"/>
    <n v="227"/>
    <n v="742"/>
    <n v="2915"/>
    <x v="2"/>
    <m/>
    <m/>
    <m/>
    <m/>
  </r>
  <r>
    <x v="16"/>
    <x v="7"/>
    <x v="238"/>
    <n v="5.6500000950000002"/>
    <n v="5.6500000950000002"/>
    <n v="0"/>
    <n v="0"/>
    <n v="0"/>
    <n v="5.6500000950000002"/>
    <n v="0"/>
    <n v="0"/>
    <n v="0"/>
    <n v="256"/>
    <n v="759"/>
    <n v="2895"/>
    <x v="3"/>
    <m/>
    <m/>
    <m/>
    <m/>
  </r>
  <r>
    <x v="16"/>
    <x v="8"/>
    <x v="239"/>
    <n v="5.8099999430000002"/>
    <n v="5.8099999430000002"/>
    <n v="0"/>
    <n v="0"/>
    <n v="0.37000000500000002"/>
    <n v="5.4400000569999998"/>
    <n v="0"/>
    <n v="0"/>
    <n v="9"/>
    <n v="248"/>
    <n v="708"/>
    <n v="2923"/>
    <x v="3"/>
    <m/>
    <m/>
    <m/>
    <m/>
  </r>
  <r>
    <x v="16"/>
    <x v="9"/>
    <x v="240"/>
    <n v="8.3800001139999996"/>
    <n v="8.3800001139999996"/>
    <n v="0"/>
    <n v="0"/>
    <n v="1.460000038"/>
    <n v="6.920000076"/>
    <n v="0"/>
    <n v="0"/>
    <n v="32"/>
    <n v="367"/>
    <n v="475"/>
    <n v="3323"/>
    <x v="0"/>
    <m/>
    <m/>
    <m/>
    <m/>
  </r>
  <r>
    <x v="16"/>
    <x v="10"/>
    <x v="241"/>
    <n v="9.8299999239999991"/>
    <n v="9.8299999239999991"/>
    <n v="0"/>
    <n v="0.25"/>
    <n v="2.8499999049999998"/>
    <n v="6.7199997900000001"/>
    <n v="0"/>
    <n v="3"/>
    <n v="57"/>
    <n v="323"/>
    <n v="471"/>
    <n v="3357"/>
    <x v="0"/>
    <m/>
    <m/>
    <m/>
    <m/>
  </r>
  <r>
    <x v="16"/>
    <x v="11"/>
    <x v="242"/>
    <n v="6.3600001339999999"/>
    <n v="6.3600001339999999"/>
    <n v="0"/>
    <n v="0.47999998900000002"/>
    <n v="1.2000000479999999"/>
    <n v="4.6799998279999997"/>
    <n v="0"/>
    <n v="6"/>
    <n v="27"/>
    <n v="216"/>
    <n v="746"/>
    <n v="2931"/>
    <x v="2"/>
    <m/>
    <m/>
    <m/>
    <m/>
  </r>
  <r>
    <x v="16"/>
    <x v="12"/>
    <x v="243"/>
    <n v="5.4099998469999999"/>
    <n v="5.4099998469999999"/>
    <n v="0"/>
    <n v="1.2400000099999999"/>
    <n v="0.80000001200000004"/>
    <n v="3.369999886"/>
    <n v="0"/>
    <n v="15"/>
    <n v="16"/>
    <n v="199"/>
    <n v="770"/>
    <n v="2848"/>
    <x v="3"/>
    <m/>
    <m/>
    <m/>
    <m/>
  </r>
  <r>
    <x v="16"/>
    <x v="13"/>
    <x v="244"/>
    <n v="6.1799998279999997"/>
    <n v="6.1799998279999997"/>
    <n v="0"/>
    <n v="0.33000001299999998"/>
    <n v="0.209999993"/>
    <n v="5.6300001139999996"/>
    <n v="0"/>
    <n v="4"/>
    <n v="4"/>
    <n v="248"/>
    <n v="708"/>
    <n v="2943"/>
    <x v="2"/>
    <m/>
    <m/>
    <m/>
    <m/>
  </r>
  <r>
    <x v="16"/>
    <x v="14"/>
    <x v="245"/>
    <n v="5.3400001530000001"/>
    <n v="5.3400001530000001"/>
    <n v="0"/>
    <n v="0"/>
    <n v="0"/>
    <n v="5.3400001530000001"/>
    <n v="0"/>
    <n v="0"/>
    <n v="0"/>
    <n v="210"/>
    <n v="770"/>
    <n v="2822"/>
    <x v="3"/>
    <m/>
    <m/>
    <m/>
    <m/>
  </r>
  <r>
    <x v="16"/>
    <x v="15"/>
    <x v="246"/>
    <n v="6.6399998660000001"/>
    <n v="6.6399998660000001"/>
    <n v="0"/>
    <n v="0"/>
    <n v="0.62000000499999997"/>
    <n v="5.9499998090000004"/>
    <n v="0"/>
    <n v="0"/>
    <n v="15"/>
    <n v="247"/>
    <n v="808"/>
    <n v="2981"/>
    <x v="2"/>
    <m/>
    <m/>
    <m/>
    <m/>
  </r>
  <r>
    <x v="16"/>
    <x v="16"/>
    <x v="247"/>
    <n v="11.35999966"/>
    <n v="11.35999966"/>
    <n v="0"/>
    <n v="0.61000001400000003"/>
    <n v="2.6800000669999999"/>
    <n v="8.0600004199999997"/>
    <n v="0"/>
    <n v="8"/>
    <n v="56"/>
    <n v="381"/>
    <n v="407"/>
    <n v="3597"/>
    <x v="0"/>
    <m/>
    <m/>
    <m/>
    <m/>
  </r>
  <r>
    <x v="16"/>
    <x v="17"/>
    <x v="248"/>
    <n v="9.0299997330000004"/>
    <n v="9.0299997330000004"/>
    <n v="0"/>
    <n v="7.9999998000000003E-2"/>
    <n v="1.1599999670000001"/>
    <n v="7.7899999619999996"/>
    <n v="0"/>
    <n v="1"/>
    <n v="25"/>
    <n v="331"/>
    <n v="528"/>
    <n v="3224"/>
    <x v="0"/>
    <m/>
    <m/>
    <m/>
    <m/>
  </r>
  <r>
    <x v="16"/>
    <x v="18"/>
    <x v="249"/>
    <n v="5.2699999809999998"/>
    <n v="5.2699999809999998"/>
    <n v="0"/>
    <n v="0"/>
    <n v="0"/>
    <n v="5.2699999809999998"/>
    <n v="0"/>
    <n v="0"/>
    <n v="0"/>
    <n v="207"/>
    <n v="809"/>
    <n v="2677"/>
    <x v="3"/>
    <m/>
    <m/>
    <m/>
    <m/>
  </r>
  <r>
    <x v="17"/>
    <x v="8"/>
    <x v="250"/>
    <n v="8.1000003809999992"/>
    <n v="8.1000003809999992"/>
    <n v="0"/>
    <n v="2.9000000950000002"/>
    <n v="0.62999999500000003"/>
    <n v="4.579999924"/>
    <n v="0"/>
    <n v="51"/>
    <n v="12"/>
    <n v="235"/>
    <n v="782"/>
    <n v="2142"/>
    <x v="0"/>
    <m/>
    <m/>
    <m/>
    <m/>
  </r>
  <r>
    <x v="17"/>
    <x v="9"/>
    <x v="251"/>
    <n v="1.9199999569999999"/>
    <n v="1.9199999569999999"/>
    <n v="0"/>
    <n v="0"/>
    <n v="0"/>
    <n v="1.9099999670000001"/>
    <n v="0"/>
    <n v="0"/>
    <n v="0"/>
    <n v="181"/>
    <n v="356"/>
    <n v="1615"/>
    <x v="1"/>
    <m/>
    <m/>
    <m/>
    <m/>
  </r>
  <r>
    <x v="17"/>
    <x v="10"/>
    <x v="252"/>
    <n v="0.99000001000000004"/>
    <n v="0.99000001000000004"/>
    <n v="0"/>
    <n v="0"/>
    <n v="0"/>
    <n v="0.99000001000000004"/>
    <n v="0"/>
    <n v="0"/>
    <n v="0"/>
    <n v="93"/>
    <n v="507"/>
    <n v="1481"/>
    <x v="1"/>
    <m/>
    <m/>
    <m/>
    <m/>
  </r>
  <r>
    <x v="17"/>
    <x v="11"/>
    <x v="253"/>
    <n v="5.8800001139999996"/>
    <n v="5.8800001139999996"/>
    <n v="0"/>
    <n v="2.0699999330000001"/>
    <n v="0.439999998"/>
    <n v="3.3599998950000001"/>
    <n v="0"/>
    <n v="27"/>
    <n v="8"/>
    <n v="198"/>
    <n v="754"/>
    <n v="1892"/>
    <x v="2"/>
    <m/>
    <m/>
    <m/>
    <m/>
  </r>
  <r>
    <x v="17"/>
    <x v="12"/>
    <x v="254"/>
    <n v="7.3800001139999996"/>
    <n v="7.3800001139999996"/>
    <n v="0"/>
    <n v="2.3099999430000002"/>
    <n v="0.980000019"/>
    <n v="4.0900001530000001"/>
    <n v="0"/>
    <n v="40"/>
    <n v="26"/>
    <n v="218"/>
    <n v="772"/>
    <n v="2086"/>
    <x v="0"/>
    <m/>
    <m/>
    <m/>
    <m/>
  </r>
  <r>
    <x v="17"/>
    <x v="13"/>
    <x v="255"/>
    <n v="8"/>
    <n v="8"/>
    <n v="0"/>
    <n v="2.4100000860000002"/>
    <n v="1.7000000479999999"/>
    <n v="3.8900001049999999"/>
    <n v="0"/>
    <n v="33"/>
    <n v="28"/>
    <n v="229"/>
    <n v="745"/>
    <n v="2044"/>
    <x v="0"/>
    <m/>
    <m/>
    <m/>
    <m/>
  </r>
  <r>
    <x v="17"/>
    <x v="14"/>
    <x v="256"/>
    <n v="10.079999920000001"/>
    <n v="10.079999920000001"/>
    <n v="0"/>
    <n v="3.2699999809999998"/>
    <n v="1.730000019"/>
    <n v="5.079999924"/>
    <n v="0"/>
    <n v="51"/>
    <n v="39"/>
    <n v="243"/>
    <n v="731"/>
    <n v="2249"/>
    <x v="0"/>
    <m/>
    <m/>
    <m/>
    <m/>
  </r>
  <r>
    <x v="17"/>
    <x v="15"/>
    <x v="257"/>
    <n v="6.4899997709999999"/>
    <n v="6.4899997709999999"/>
    <n v="0"/>
    <n v="2.1400001049999999"/>
    <n v="1.2799999710000001"/>
    <n v="3.079999924"/>
    <n v="0"/>
    <n v="38"/>
    <n v="24"/>
    <n v="193"/>
    <n v="767"/>
    <n v="2019"/>
    <x v="2"/>
    <m/>
    <m/>
    <m/>
    <m/>
  </r>
  <r>
    <x v="17"/>
    <x v="16"/>
    <x v="258"/>
    <n v="3"/>
    <n v="3"/>
    <n v="0"/>
    <n v="0"/>
    <n v="0"/>
    <n v="3"/>
    <n v="0"/>
    <n v="0"/>
    <n v="0"/>
    <n v="176"/>
    <n v="578"/>
    <n v="1692"/>
    <x v="1"/>
    <m/>
    <m/>
    <m/>
    <m/>
  </r>
  <r>
    <x v="17"/>
    <x v="17"/>
    <x v="259"/>
    <n v="3.6500000950000002"/>
    <n v="3.6500000950000002"/>
    <n v="0"/>
    <n v="0.280000001"/>
    <n v="1.480000019"/>
    <n v="1.8899999860000001"/>
    <n v="0"/>
    <n v="4"/>
    <n v="25"/>
    <n v="150"/>
    <n v="552"/>
    <n v="1712"/>
    <x v="3"/>
    <m/>
    <m/>
    <m/>
    <m/>
  </r>
  <r>
    <x v="17"/>
    <x v="18"/>
    <x v="260"/>
    <n v="7.7699999809999998"/>
    <n v="7.7699999809999998"/>
    <n v="0"/>
    <n v="2.2599999899999998"/>
    <n v="1.519999981"/>
    <n v="3.9900000100000002"/>
    <n v="0"/>
    <n v="32"/>
    <n v="27"/>
    <n v="234"/>
    <n v="688"/>
    <n v="2065"/>
    <x v="0"/>
    <m/>
    <m/>
    <m/>
    <m/>
  </r>
  <r>
    <x v="21"/>
    <x v="8"/>
    <x v="261"/>
    <n v="7.8699998860000004"/>
    <n v="7.8699998860000004"/>
    <n v="0"/>
    <n v="4.7600002290000001"/>
    <n v="0.85000002399999997"/>
    <n v="2.25"/>
    <n v="0"/>
    <n v="99"/>
    <n v="31"/>
    <n v="142"/>
    <n v="721"/>
    <n v="3625"/>
    <x v="0"/>
    <m/>
    <m/>
    <m/>
    <m/>
  </r>
  <r>
    <x v="21"/>
    <x v="9"/>
    <x v="262"/>
    <n v="11.10999966"/>
    <n v="11.10999966"/>
    <n v="0"/>
    <n v="8.1899995800000003"/>
    <n v="0.60000002399999997"/>
    <n v="2.3099999430000002"/>
    <n v="0"/>
    <n v="202"/>
    <n v="36"/>
    <n v="153"/>
    <n v="663"/>
    <n v="4430"/>
    <x v="0"/>
    <m/>
    <m/>
    <m/>
    <m/>
  </r>
  <r>
    <x v="22"/>
    <x v="1"/>
    <x v="263"/>
    <n v="3.9000000950000002"/>
    <n v="3.9000000950000002"/>
    <n v="0"/>
    <n v="2.880000114"/>
    <n v="0.560000002"/>
    <n v="0.46000000800000002"/>
    <n v="0"/>
    <n v="43"/>
    <n v="9"/>
    <n v="48"/>
    <n v="146"/>
    <n v="917"/>
    <x v="3"/>
    <d v="2016-04-12T00:00:00"/>
    <n v="1"/>
    <n v="366"/>
    <n v="387"/>
  </r>
  <r>
    <x v="21"/>
    <x v="10"/>
    <x v="264"/>
    <n v="7.4099998469999999"/>
    <n v="7.4099998469999999"/>
    <n v="0"/>
    <n v="1.9900000099999999"/>
    <n v="0.97000002900000004"/>
    <n v="4.4400000569999998"/>
    <n v="0"/>
    <n v="58"/>
    <n v="27"/>
    <n v="240"/>
    <n v="700"/>
    <n v="3427"/>
    <x v="2"/>
    <m/>
    <m/>
    <m/>
    <m/>
  </r>
  <r>
    <x v="21"/>
    <x v="11"/>
    <x v="265"/>
    <n v="5.5599999430000002"/>
    <n v="5.5599999430000002"/>
    <n v="0"/>
    <n v="2.3199999330000001"/>
    <n v="0.36000001399999998"/>
    <n v="2.880000114"/>
    <n v="0"/>
    <n v="70"/>
    <n v="19"/>
    <n v="204"/>
    <n v="689"/>
    <n v="3492"/>
    <x v="3"/>
    <m/>
    <m/>
    <m/>
    <m/>
  </r>
  <r>
    <x v="21"/>
    <x v="12"/>
    <x v="266"/>
    <n v="6.6999998090000004"/>
    <n v="6.6999998090000004"/>
    <n v="0"/>
    <n v="3.9700000289999999"/>
    <n v="0.189999998"/>
    <n v="2.5299999710000001"/>
    <n v="0"/>
    <n v="107"/>
    <n v="18"/>
    <n v="145"/>
    <n v="756"/>
    <n v="3597"/>
    <x v="2"/>
    <m/>
    <m/>
    <m/>
    <m/>
  </r>
  <r>
    <x v="21"/>
    <x v="13"/>
    <x v="267"/>
    <n v="8.3000001910000005"/>
    <n v="8.3000001910000005"/>
    <n v="0"/>
    <n v="3.130000114"/>
    <n v="1.3700000050000001"/>
    <n v="3.8099999430000002"/>
    <n v="0"/>
    <n v="83"/>
    <n v="52"/>
    <n v="190"/>
    <n v="695"/>
    <n v="3765"/>
    <x v="0"/>
    <m/>
    <m/>
    <m/>
    <m/>
  </r>
  <r>
    <x v="21"/>
    <x v="14"/>
    <x v="140"/>
    <n v="3.3599998950000001"/>
    <n v="3.3599998950000001"/>
    <n v="0"/>
    <n v="0.88999998599999997"/>
    <n v="0.25999999000000001"/>
    <n v="2.210000038"/>
    <n v="0"/>
    <n v="31"/>
    <n v="11"/>
    <n v="146"/>
    <n v="756"/>
    <n v="2775"/>
    <x v="1"/>
    <m/>
    <m/>
    <m/>
    <m/>
  </r>
  <r>
    <x v="21"/>
    <x v="15"/>
    <x v="268"/>
    <n v="3.2599999899999998"/>
    <n v="3.2599999899999998"/>
    <n v="0"/>
    <n v="0.12999999500000001"/>
    <n v="5.9999998999999998E-2"/>
    <n v="3.079999924"/>
    <n v="0"/>
    <n v="8"/>
    <n v="2"/>
    <n v="156"/>
    <n v="813"/>
    <n v="2486"/>
    <x v="1"/>
    <m/>
    <m/>
    <m/>
    <m/>
  </r>
  <r>
    <x v="21"/>
    <x v="16"/>
    <x v="269"/>
    <n v="7.8400001530000001"/>
    <n v="7.8400001530000001"/>
    <n v="0"/>
    <n v="4.9099998469999999"/>
    <n v="0.77999997099999996"/>
    <n v="2.1500000950000002"/>
    <n v="0"/>
    <n v="123"/>
    <n v="62"/>
    <n v="138"/>
    <n v="601"/>
    <n v="3817"/>
    <x v="0"/>
    <m/>
    <m/>
    <m/>
    <m/>
  </r>
  <r>
    <x v="21"/>
    <x v="17"/>
    <x v="270"/>
    <n v="7.3800001139999996"/>
    <n v="7.3800001139999996"/>
    <n v="0"/>
    <n v="2.9300000669999999"/>
    <n v="1.4299999480000001"/>
    <n v="3.0199999809999998"/>
    <n v="0"/>
    <n v="80"/>
    <n v="35"/>
    <n v="162"/>
    <n v="721"/>
    <n v="3378"/>
    <x v="2"/>
    <m/>
    <m/>
    <m/>
    <m/>
  </r>
  <r>
    <x v="21"/>
    <x v="18"/>
    <x v="271"/>
    <n v="2.1400001049999999"/>
    <n v="2.1400001049999999"/>
    <n v="0"/>
    <n v="1.039999962"/>
    <n v="0.25"/>
    <n v="0.83999997400000004"/>
    <n v="0"/>
    <n v="39"/>
    <n v="17"/>
    <n v="54"/>
    <n v="209"/>
    <n v="1511"/>
    <x v="1"/>
    <m/>
    <m/>
    <m/>
    <m/>
  </r>
  <r>
    <x v="23"/>
    <x v="8"/>
    <x v="272"/>
    <n v="5.6199998860000004"/>
    <n v="5.6199998860000004"/>
    <n v="0"/>
    <n v="0"/>
    <n v="0"/>
    <n v="5.6199998860000004"/>
    <n v="0"/>
    <n v="0"/>
    <n v="0"/>
    <n v="286"/>
    <n v="568"/>
    <n v="2210"/>
    <x v="3"/>
    <m/>
    <m/>
    <m/>
    <m/>
  </r>
  <r>
    <x v="23"/>
    <x v="9"/>
    <x v="273"/>
    <n v="14.84000015"/>
    <n v="14.84000015"/>
    <n v="0"/>
    <n v="0.23999999499999999"/>
    <n v="2.0899999139999998"/>
    <n v="12.510000229999999"/>
    <n v="0"/>
    <n v="3"/>
    <n v="30"/>
    <n v="475"/>
    <n v="466"/>
    <n v="2884"/>
    <x v="0"/>
    <m/>
    <m/>
    <m/>
    <m/>
  </r>
  <r>
    <x v="23"/>
    <x v="10"/>
    <x v="53"/>
    <n v="0"/>
    <n v="0"/>
    <n v="0"/>
    <n v="0"/>
    <n v="0"/>
    <n v="0"/>
    <n v="0"/>
    <n v="0"/>
    <n v="0"/>
    <n v="0"/>
    <n v="1440"/>
    <n v="1496"/>
    <x v="1"/>
    <m/>
    <m/>
    <m/>
    <m/>
  </r>
  <r>
    <x v="23"/>
    <x v="11"/>
    <x v="274"/>
    <n v="6.3899998660000001"/>
    <n v="6.3899998660000001"/>
    <n v="0"/>
    <n v="0.18000000699999999"/>
    <n v="0.63999998599999997"/>
    <n v="5.5700001720000003"/>
    <n v="0"/>
    <n v="2"/>
    <n v="11"/>
    <n v="279"/>
    <n v="1148"/>
    <n v="2262"/>
    <x v="2"/>
    <m/>
    <m/>
    <m/>
    <m/>
  </r>
  <r>
    <x v="23"/>
    <x v="12"/>
    <x v="275"/>
    <n v="7.4800000190000002"/>
    <n v="7.4800000190000002"/>
    <n v="0"/>
    <n v="0"/>
    <n v="0"/>
    <n v="7.4800000190000002"/>
    <n v="0"/>
    <n v="0"/>
    <n v="0"/>
    <n v="384"/>
    <n v="990"/>
    <n v="2445"/>
    <x v="2"/>
    <m/>
    <m/>
    <m/>
    <m/>
  </r>
  <r>
    <x v="23"/>
    <x v="13"/>
    <x v="250"/>
    <n v="9.3699998860000004"/>
    <n v="9.3699998860000004"/>
    <n v="0"/>
    <n v="0"/>
    <n v="0"/>
    <n v="9.3699998860000004"/>
    <n v="0"/>
    <n v="0"/>
    <n v="0"/>
    <n v="491"/>
    <n v="388"/>
    <n v="2694"/>
    <x v="0"/>
    <m/>
    <m/>
    <m/>
    <m/>
  </r>
  <r>
    <x v="23"/>
    <x v="14"/>
    <x v="276"/>
    <n v="3.6600000860000002"/>
    <n v="3.6600000860000002"/>
    <n v="0"/>
    <n v="0"/>
    <n v="0"/>
    <n v="3.6600000860000002"/>
    <n v="0"/>
    <n v="0"/>
    <n v="0"/>
    <n v="156"/>
    <n v="770"/>
    <n v="1903"/>
    <x v="1"/>
    <m/>
    <m/>
    <m/>
    <m/>
  </r>
  <r>
    <x v="23"/>
    <x v="15"/>
    <x v="277"/>
    <n v="6.7600002290000001"/>
    <n v="6.7600002290000001"/>
    <n v="0"/>
    <n v="0"/>
    <n v="0"/>
    <n v="6.7300000190000002"/>
    <n v="0"/>
    <n v="0"/>
    <n v="0"/>
    <n v="422"/>
    <n v="1018"/>
    <n v="2482"/>
    <x v="2"/>
    <m/>
    <m/>
    <m/>
    <m/>
  </r>
  <r>
    <x v="23"/>
    <x v="16"/>
    <x v="278"/>
    <n v="8.1499996190000008"/>
    <n v="8.1499996190000008"/>
    <n v="0"/>
    <n v="0"/>
    <n v="0"/>
    <n v="8.1499996190000008"/>
    <n v="0"/>
    <n v="0"/>
    <n v="0"/>
    <n v="506"/>
    <n v="413"/>
    <n v="2617"/>
    <x v="0"/>
    <m/>
    <m/>
    <m/>
    <m/>
  </r>
  <r>
    <x v="23"/>
    <x v="17"/>
    <x v="53"/>
    <n v="0"/>
    <n v="0"/>
    <n v="0"/>
    <n v="0"/>
    <n v="0"/>
    <n v="0"/>
    <n v="0"/>
    <n v="0"/>
    <n v="0"/>
    <n v="0"/>
    <n v="1440"/>
    <n v="0"/>
    <x v="1"/>
    <m/>
    <m/>
    <m/>
    <m/>
  </r>
  <r>
    <x v="24"/>
    <x v="8"/>
    <x v="279"/>
    <n v="5.0100002290000001"/>
    <n v="5.0100002290000001"/>
    <n v="0"/>
    <n v="0"/>
    <n v="0"/>
    <n v="5.0100002290000001"/>
    <n v="0"/>
    <n v="0"/>
    <n v="0"/>
    <n v="280"/>
    <n v="1160"/>
    <n v="2778"/>
    <x v="3"/>
    <m/>
    <m/>
    <m/>
    <m/>
  </r>
  <r>
    <x v="24"/>
    <x v="9"/>
    <x v="280"/>
    <n v="7.2199997900000001"/>
    <n v="7.2199997900000001"/>
    <n v="0"/>
    <n v="2.0199999809999998"/>
    <n v="3.6800000669999999"/>
    <n v="1.519999981"/>
    <n v="0"/>
    <n v="25"/>
    <n v="107"/>
    <n v="113"/>
    <n v="1195"/>
    <n v="3119"/>
    <x v="2"/>
    <m/>
    <m/>
    <m/>
    <m/>
  </r>
  <r>
    <x v="24"/>
    <x v="10"/>
    <x v="53"/>
    <n v="0"/>
    <n v="0"/>
    <n v="0"/>
    <n v="0"/>
    <n v="0"/>
    <n v="0"/>
    <n v="0"/>
    <n v="33"/>
    <n v="0"/>
    <n v="0"/>
    <n v="1407"/>
    <n v="2664"/>
    <x v="1"/>
    <m/>
    <m/>
    <m/>
    <m/>
  </r>
  <r>
    <x v="24"/>
    <x v="11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2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3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4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5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6"/>
    <x v="53"/>
    <n v="0"/>
    <n v="0"/>
    <n v="0"/>
    <n v="0"/>
    <n v="0"/>
    <n v="0"/>
    <n v="0"/>
    <n v="0"/>
    <n v="0"/>
    <n v="0"/>
    <n v="1440"/>
    <n v="2060"/>
    <x v="1"/>
    <m/>
    <m/>
    <m/>
    <m/>
  </r>
  <r>
    <x v="24"/>
    <x v="17"/>
    <x v="53"/>
    <n v="0"/>
    <n v="0"/>
    <n v="0"/>
    <n v="0"/>
    <n v="0"/>
    <n v="0"/>
    <n v="0"/>
    <n v="20"/>
    <n v="0"/>
    <n v="0"/>
    <n v="494"/>
    <n v="735"/>
    <x v="1"/>
    <m/>
    <m/>
    <m/>
    <m/>
  </r>
  <r>
    <x v="25"/>
    <x v="8"/>
    <x v="53"/>
    <n v="0"/>
    <n v="0"/>
    <n v="0"/>
    <n v="0"/>
    <n v="0"/>
    <n v="0"/>
    <n v="0"/>
    <n v="0"/>
    <n v="0"/>
    <n v="0"/>
    <n v="1440"/>
    <n v="1820"/>
    <x v="1"/>
    <m/>
    <m/>
    <m/>
    <m/>
  </r>
  <r>
    <x v="25"/>
    <x v="9"/>
    <x v="281"/>
    <n v="2.0299999710000001"/>
    <n v="0"/>
    <n v="2.0277729029999998"/>
    <n v="2.0299999710000001"/>
    <n v="0"/>
    <n v="0"/>
    <n v="0"/>
    <n v="46"/>
    <n v="0"/>
    <n v="0"/>
    <n v="1394"/>
    <n v="2224"/>
    <x v="1"/>
    <m/>
    <m/>
    <m/>
    <m/>
  </r>
  <r>
    <x v="25"/>
    <x v="10"/>
    <x v="53"/>
    <n v="0"/>
    <n v="0"/>
    <n v="0"/>
    <n v="0"/>
    <n v="0"/>
    <n v="0"/>
    <n v="0"/>
    <n v="0"/>
    <n v="0"/>
    <n v="0"/>
    <n v="1440"/>
    <n v="1820"/>
    <x v="1"/>
    <m/>
    <m/>
    <m/>
    <m/>
  </r>
  <r>
    <x v="25"/>
    <x v="11"/>
    <x v="53"/>
    <n v="0"/>
    <n v="0"/>
    <n v="0"/>
    <n v="0"/>
    <n v="0"/>
    <n v="0"/>
    <n v="0"/>
    <n v="0"/>
    <n v="0"/>
    <n v="0"/>
    <n v="1440"/>
    <n v="1820"/>
    <x v="1"/>
    <m/>
    <m/>
    <m/>
    <m/>
  </r>
  <r>
    <x v="26"/>
    <x v="1"/>
    <x v="282"/>
    <n v="0.25999999000000001"/>
    <n v="0.25999999000000001"/>
    <n v="0"/>
    <n v="0"/>
    <n v="0"/>
    <n v="0.25999999000000001"/>
    <n v="0"/>
    <n v="0"/>
    <n v="0"/>
    <n v="14"/>
    <n v="75"/>
    <n v="625"/>
    <x v="1"/>
    <d v="2016-04-12T00:00:00"/>
    <n v="1"/>
    <n v="514"/>
    <n v="525"/>
  </r>
  <r>
    <x v="25"/>
    <x v="12"/>
    <x v="283"/>
    <n v="7.5100002290000001"/>
    <n v="0.77999997099999996"/>
    <n v="6.7270569800000004"/>
    <n v="0"/>
    <n v="5.0000001000000002E-2"/>
    <n v="7.4600000380000004"/>
    <n v="0"/>
    <n v="0"/>
    <n v="6"/>
    <n v="301"/>
    <n v="1133"/>
    <n v="2442"/>
    <x v="2"/>
    <m/>
    <m/>
    <m/>
    <m/>
  </r>
  <r>
    <x v="25"/>
    <x v="13"/>
    <x v="284"/>
    <n v="0.12999999500000001"/>
    <n v="0.12999999500000001"/>
    <n v="0"/>
    <n v="0"/>
    <n v="0"/>
    <n v="0.12999999500000001"/>
    <n v="0"/>
    <n v="0"/>
    <n v="0"/>
    <n v="8"/>
    <n v="1432"/>
    <n v="1849"/>
    <x v="1"/>
    <m/>
    <m/>
    <m/>
    <m/>
  </r>
  <r>
    <x v="25"/>
    <x v="14"/>
    <x v="53"/>
    <n v="0"/>
    <n v="0"/>
    <n v="0"/>
    <n v="0"/>
    <n v="0"/>
    <n v="0"/>
    <n v="0"/>
    <n v="0"/>
    <n v="0"/>
    <n v="0"/>
    <n v="1440"/>
    <n v="1822"/>
    <x v="1"/>
    <m/>
    <m/>
    <m/>
    <m/>
  </r>
  <r>
    <x v="25"/>
    <x v="15"/>
    <x v="53"/>
    <n v="0"/>
    <n v="0"/>
    <n v="0"/>
    <n v="0"/>
    <n v="0"/>
    <n v="0"/>
    <n v="0"/>
    <n v="0"/>
    <n v="0"/>
    <n v="0"/>
    <n v="1440"/>
    <n v="1820"/>
    <x v="1"/>
    <m/>
    <m/>
    <m/>
    <m/>
  </r>
  <r>
    <x v="25"/>
    <x v="16"/>
    <x v="53"/>
    <n v="0"/>
    <n v="0"/>
    <n v="0"/>
    <n v="0"/>
    <n v="0"/>
    <n v="0"/>
    <n v="0"/>
    <n v="0"/>
    <n v="0"/>
    <n v="0"/>
    <n v="198"/>
    <n v="251"/>
    <x v="1"/>
    <m/>
    <m/>
    <m/>
    <m/>
  </r>
  <r>
    <x v="27"/>
    <x v="8"/>
    <x v="285"/>
    <n v="5.1799998279999997"/>
    <n v="5.1799998279999997"/>
    <n v="0"/>
    <n v="1.730000019"/>
    <n v="1.269999981"/>
    <n v="2.1800000669999999"/>
    <n v="0"/>
    <n v="25"/>
    <n v="50"/>
    <n v="163"/>
    <n v="1189"/>
    <n v="3065"/>
    <x v="3"/>
    <m/>
    <m/>
    <m/>
    <m/>
  </r>
  <r>
    <x v="27"/>
    <x v="9"/>
    <x v="286"/>
    <n v="1.4299999480000001"/>
    <n v="1.4299999480000001"/>
    <n v="0"/>
    <n v="0"/>
    <n v="0"/>
    <n v="1.4299999480000001"/>
    <n v="0"/>
    <n v="0"/>
    <n v="0"/>
    <n v="79"/>
    <n v="909"/>
    <n v="2207"/>
    <x v="1"/>
    <m/>
    <m/>
    <m/>
    <m/>
  </r>
  <r>
    <x v="27"/>
    <x v="10"/>
    <x v="287"/>
    <n v="1.1299999949999999"/>
    <n v="1.1299999949999999"/>
    <n v="0"/>
    <n v="7.0000000000000007E-2"/>
    <n v="0.88999998599999997"/>
    <n v="0.17000000200000001"/>
    <n v="0"/>
    <n v="1"/>
    <n v="17"/>
    <n v="8"/>
    <n v="1414"/>
    <n v="1977"/>
    <x v="1"/>
    <m/>
    <m/>
    <m/>
    <m/>
  </r>
  <r>
    <x v="27"/>
    <x v="11"/>
    <x v="53"/>
    <n v="0"/>
    <n v="0"/>
    <n v="0"/>
    <n v="0"/>
    <n v="0"/>
    <n v="0"/>
    <n v="0"/>
    <n v="0"/>
    <n v="0"/>
    <n v="0"/>
    <n v="1440"/>
    <n v="1841"/>
    <x v="1"/>
    <m/>
    <m/>
    <m/>
    <m/>
  </r>
  <r>
    <x v="27"/>
    <x v="12"/>
    <x v="288"/>
    <n v="6.6999998090000004"/>
    <n v="6.6999998090000004"/>
    <n v="0"/>
    <n v="1.1299999949999999"/>
    <n v="2.039999962"/>
    <n v="3.1400001049999999"/>
    <n v="0"/>
    <n v="56"/>
    <n v="133"/>
    <n v="240"/>
    <n v="1011"/>
    <n v="4286"/>
    <x v="2"/>
    <m/>
    <m/>
    <m/>
    <m/>
  </r>
  <r>
    <x v="27"/>
    <x v="13"/>
    <x v="289"/>
    <n v="8.4300003050000001"/>
    <n v="8.4300003050000001"/>
    <n v="0"/>
    <n v="1.309999943"/>
    <n v="2.4400000569999998"/>
    <n v="4.6799998279999997"/>
    <n v="0"/>
    <n v="24"/>
    <n v="99"/>
    <n v="300"/>
    <n v="550"/>
    <n v="3920"/>
    <x v="0"/>
    <m/>
    <m/>
    <m/>
    <m/>
  </r>
  <r>
    <x v="27"/>
    <x v="14"/>
    <x v="290"/>
    <n v="10.02999973"/>
    <n v="10.02999973"/>
    <n v="0"/>
    <n v="2.869999886"/>
    <n v="3.3399999139999998"/>
    <n v="3.8199999330000001"/>
    <n v="0"/>
    <n v="46"/>
    <n v="114"/>
    <n v="250"/>
    <n v="739"/>
    <n v="3856"/>
    <x v="0"/>
    <m/>
    <m/>
    <m/>
    <m/>
  </r>
  <r>
    <x v="27"/>
    <x v="15"/>
    <x v="291"/>
    <n v="2.960000038"/>
    <n v="2.960000038"/>
    <n v="0"/>
    <n v="1.3700000050000001"/>
    <n v="0.61000001400000003"/>
    <n v="0.980000019"/>
    <n v="0"/>
    <n v="27"/>
    <n v="30"/>
    <n v="75"/>
    <n v="1308"/>
    <n v="2584"/>
    <x v="1"/>
    <m/>
    <m/>
    <m/>
    <m/>
  </r>
  <r>
    <x v="27"/>
    <x v="16"/>
    <x v="292"/>
    <n v="0.01"/>
    <n v="0.01"/>
    <n v="0"/>
    <n v="0"/>
    <n v="0"/>
    <n v="0.01"/>
    <n v="0"/>
    <n v="0"/>
    <n v="0"/>
    <n v="1"/>
    <n v="601"/>
    <n v="787"/>
    <x v="1"/>
    <m/>
    <m/>
    <m/>
    <m/>
  </r>
  <r>
    <x v="22"/>
    <x v="6"/>
    <x v="293"/>
    <n v="10.239999770000001"/>
    <n v="10.239999770000001"/>
    <n v="0"/>
    <n v="1.289999962"/>
    <n v="4.4899997709999999"/>
    <n v="4.4600000380000004"/>
    <n v="0"/>
    <n v="18"/>
    <n v="77"/>
    <n v="272"/>
    <n v="641"/>
    <n v="2244"/>
    <x v="0"/>
    <m/>
    <m/>
    <m/>
    <m/>
  </r>
  <r>
    <x v="22"/>
    <x v="7"/>
    <x v="294"/>
    <n v="9.3199996949999999"/>
    <n v="9.3199996949999999"/>
    <n v="0"/>
    <n v="3.5"/>
    <n v="1.9199999569999999"/>
    <n v="3.9000000950000002"/>
    <n v="0"/>
    <n v="50"/>
    <n v="32"/>
    <n v="234"/>
    <n v="595"/>
    <n v="2188"/>
    <x v="0"/>
    <m/>
    <m/>
    <m/>
    <m/>
  </r>
  <r>
    <x v="22"/>
    <x v="8"/>
    <x v="295"/>
    <n v="6.9800000190000002"/>
    <n v="6.9800000190000002"/>
    <n v="0"/>
    <n v="0.69999998799999996"/>
    <n v="2.4300000669999999"/>
    <n v="3.8499999049999998"/>
    <n v="0"/>
    <n v="9"/>
    <n v="45"/>
    <n v="252"/>
    <n v="602"/>
    <n v="2014"/>
    <x v="0"/>
    <m/>
    <m/>
    <m/>
    <m/>
  </r>
  <r>
    <x v="22"/>
    <x v="9"/>
    <x v="296"/>
    <n v="8.3000001910000005"/>
    <n v="8.3000001910000005"/>
    <n v="0"/>
    <n v="3.7599999899999998"/>
    <n v="1.289999962"/>
    <n v="3.2400000100000002"/>
    <n v="0"/>
    <n v="50"/>
    <n v="24"/>
    <n v="219"/>
    <n v="732"/>
    <n v="2115"/>
    <x v="0"/>
    <m/>
    <m/>
    <m/>
    <m/>
  </r>
  <r>
    <x v="22"/>
    <x v="10"/>
    <x v="297"/>
    <n v="8.1400003430000005"/>
    <n v="8.1400003430000005"/>
    <n v="0"/>
    <n v="1.0099999900000001"/>
    <n v="3.2599999899999998"/>
    <n v="3.869999886"/>
    <n v="0"/>
    <n v="14"/>
    <n v="51"/>
    <n v="218"/>
    <n v="589"/>
    <n v="2055"/>
    <x v="0"/>
    <m/>
    <m/>
    <m/>
    <m/>
  </r>
  <r>
    <x v="22"/>
    <x v="11"/>
    <x v="298"/>
    <n v="12.80000019"/>
    <n v="12.80000019"/>
    <n v="0"/>
    <n v="5.9099998469999999"/>
    <n v="1.230000019"/>
    <n v="5.6599998469999999"/>
    <n v="0"/>
    <n v="73"/>
    <n v="20"/>
    <n v="327"/>
    <n v="570"/>
    <n v="2437"/>
    <x v="0"/>
    <m/>
    <m/>
    <m/>
    <m/>
  </r>
  <r>
    <x v="22"/>
    <x v="12"/>
    <x v="299"/>
    <n v="7.9400000569999998"/>
    <n v="7.9400000569999998"/>
    <n v="0"/>
    <n v="2.380000114"/>
    <n v="0.94999998799999996"/>
    <n v="4.6100001339999999"/>
    <n v="0"/>
    <n v="38"/>
    <n v="17"/>
    <n v="287"/>
    <n v="692"/>
    <n v="2158"/>
    <x v="0"/>
    <m/>
    <m/>
    <m/>
    <m/>
  </r>
  <r>
    <x v="22"/>
    <x v="13"/>
    <x v="300"/>
    <n v="8.8599996569999995"/>
    <n v="8.25"/>
    <n v="3.97279501"/>
    <n v="4.1799998279999997"/>
    <n v="0.689999998"/>
    <n v="4"/>
    <n v="0"/>
    <n v="55"/>
    <n v="14"/>
    <n v="276"/>
    <n v="593"/>
    <n v="2170"/>
    <x v="0"/>
    <m/>
    <m/>
    <m/>
    <m/>
  </r>
  <r>
    <x v="22"/>
    <x v="14"/>
    <x v="301"/>
    <n v="9.6499996190000008"/>
    <n v="8.8699998860000004"/>
    <n v="1.9263019560000001"/>
    <n v="3.3900001049999999"/>
    <n v="1.25"/>
    <n v="4.9099998469999999"/>
    <n v="0.10000000100000001"/>
    <n v="45"/>
    <n v="16"/>
    <n v="284"/>
    <n v="665"/>
    <n v="2244"/>
    <x v="0"/>
    <m/>
    <m/>
    <m/>
    <m/>
  </r>
  <r>
    <x v="22"/>
    <x v="15"/>
    <x v="302"/>
    <n v="10.880000109999999"/>
    <n v="9.5200004580000002"/>
    <n v="5.4568638800000002"/>
    <n v="2.4700000289999999"/>
    <n v="2.880000114"/>
    <n v="5.5300002099999999"/>
    <n v="0"/>
    <n v="27"/>
    <n v="37"/>
    <n v="276"/>
    <n v="697"/>
    <n v="2188"/>
    <x v="0"/>
    <m/>
    <m/>
    <m/>
    <m/>
  </r>
  <r>
    <x v="22"/>
    <x v="16"/>
    <x v="303"/>
    <n v="8.2600002289999992"/>
    <n v="8.2600002289999992"/>
    <n v="0"/>
    <n v="2.210000038"/>
    <n v="1.0900000329999999"/>
    <n v="4.9600000380000004"/>
    <n v="0"/>
    <n v="33"/>
    <n v="19"/>
    <n v="324"/>
    <n v="609"/>
    <n v="2231"/>
    <x v="0"/>
    <m/>
    <m/>
    <m/>
    <m/>
  </r>
  <r>
    <x v="22"/>
    <x v="17"/>
    <x v="304"/>
    <n v="6.7100000380000004"/>
    <n v="6.7100000380000004"/>
    <n v="0"/>
    <n v="1.3600000139999999"/>
    <n v="0.219999999"/>
    <n v="5.1300001139999996"/>
    <n v="0"/>
    <n v="19"/>
    <n v="7"/>
    <n v="306"/>
    <n v="679"/>
    <n v="2100"/>
    <x v="0"/>
    <m/>
    <m/>
    <m/>
    <m/>
  </r>
  <r>
    <x v="22"/>
    <x v="18"/>
    <x v="305"/>
    <n v="9.0900001530000001"/>
    <n v="8.1700000760000009"/>
    <n v="2.696455002"/>
    <n v="1.0900000329999999"/>
    <n v="2.7300000190000002"/>
    <n v="5.2699999809999998"/>
    <n v="0"/>
    <n v="21"/>
    <n v="38"/>
    <n v="297"/>
    <n v="678"/>
    <n v="2188"/>
    <x v="0"/>
    <m/>
    <m/>
    <m/>
    <m/>
  </r>
  <r>
    <x v="28"/>
    <x v="8"/>
    <x v="306"/>
    <n v="9.0600004199999997"/>
    <n v="7.8099999430000002"/>
    <n v="4.9012827870000004"/>
    <n v="4.4899997709999999"/>
    <n v="0.33000001299999998"/>
    <n v="4.2399997709999999"/>
    <n v="0"/>
    <n v="50"/>
    <n v="7"/>
    <n v="244"/>
    <n v="1139"/>
    <n v="2573"/>
    <x v="0"/>
    <m/>
    <m/>
    <m/>
    <m/>
  </r>
  <r>
    <x v="28"/>
    <x v="9"/>
    <x v="307"/>
    <n v="7.3400001530000001"/>
    <n v="7.3400001530000001"/>
    <n v="0"/>
    <n v="0.55000001200000004"/>
    <n v="0.670000017"/>
    <n v="6.1300001139999996"/>
    <n v="0"/>
    <n v="9"/>
    <n v="16"/>
    <n v="271"/>
    <n v="1075"/>
    <n v="2575"/>
    <x v="0"/>
    <m/>
    <m/>
    <m/>
    <m/>
  </r>
  <r>
    <x v="28"/>
    <x v="10"/>
    <x v="308"/>
    <n v="11.239999770000001"/>
    <n v="11.239999770000001"/>
    <n v="0"/>
    <n v="6.4099998469999999"/>
    <n v="1.3700000050000001"/>
    <n v="3.4700000289999999"/>
    <n v="0"/>
    <n v="104"/>
    <n v="31"/>
    <n v="230"/>
    <n v="1002"/>
    <n v="3086"/>
    <x v="0"/>
    <m/>
    <m/>
    <m/>
    <m/>
  </r>
  <r>
    <x v="28"/>
    <x v="11"/>
    <x v="309"/>
    <n v="11.399999619999999"/>
    <n v="10.210000040000001"/>
    <n v="5.1898498540000002"/>
    <n v="5.8000001909999996"/>
    <n v="0.75999998999999996"/>
    <n v="4.7899999619999996"/>
    <n v="5.0000001000000002E-2"/>
    <n v="70"/>
    <n v="21"/>
    <n v="292"/>
    <n v="1057"/>
    <n v="2886"/>
    <x v="0"/>
    <m/>
    <m/>
    <m/>
    <m/>
  </r>
  <r>
    <x v="28"/>
    <x v="12"/>
    <x v="310"/>
    <n v="9.1400003430000005"/>
    <n v="8.0799999239999991"/>
    <n v="4.8363800049999996"/>
    <n v="4.3899998660000001"/>
    <n v="0.46000000800000002"/>
    <n v="4.2899999619999996"/>
    <n v="0"/>
    <n v="50"/>
    <n v="6"/>
    <n v="284"/>
    <n v="1030"/>
    <n v="2676"/>
    <x v="0"/>
    <m/>
    <m/>
    <m/>
    <m/>
  </r>
  <r>
    <x v="28"/>
    <x v="13"/>
    <x v="311"/>
    <n v="10.25"/>
    <n v="9.0699996949999999"/>
    <n v="4.835720062"/>
    <n v="5.3499999049999998"/>
    <n v="0.33000001299999998"/>
    <n v="4.5599999430000002"/>
    <n v="0"/>
    <n v="64"/>
    <n v="8"/>
    <n v="270"/>
    <n v="1098"/>
    <n v="2811"/>
    <x v="0"/>
    <m/>
    <m/>
    <m/>
    <m/>
  </r>
  <r>
    <x v="28"/>
    <x v="14"/>
    <x v="312"/>
    <n v="10.579999920000001"/>
    <n v="9.4300003050000001"/>
    <n v="4.8759899139999998"/>
    <n v="5.0999999049999998"/>
    <n v="1.190000057"/>
    <n v="4.2800002099999999"/>
    <n v="0"/>
    <n v="61"/>
    <n v="33"/>
    <n v="265"/>
    <n v="1015"/>
    <n v="2840"/>
    <x v="0"/>
    <m/>
    <m/>
    <m/>
    <m/>
  </r>
  <r>
    <x v="28"/>
    <x v="15"/>
    <x v="313"/>
    <n v="9.6499996190000008"/>
    <n v="8.4499998089999995"/>
    <n v="4.8423199649999997"/>
    <n v="4.6999998090000004"/>
    <n v="0.74000001000000004"/>
    <n v="4.2100000380000004"/>
    <n v="0"/>
    <n v="54"/>
    <n v="22"/>
    <n v="301"/>
    <n v="1063"/>
    <n v="2871"/>
    <x v="0"/>
    <m/>
    <m/>
    <m/>
    <m/>
  </r>
  <r>
    <x v="28"/>
    <x v="16"/>
    <x v="314"/>
    <n v="6.920000076"/>
    <n v="6.920000076"/>
    <n v="0"/>
    <n v="7.0000000000000007E-2"/>
    <n v="0.27000001099999998"/>
    <n v="6.579999924"/>
    <n v="0"/>
    <n v="2"/>
    <n v="6"/>
    <n v="358"/>
    <n v="1074"/>
    <n v="2613"/>
    <x v="0"/>
    <m/>
    <m/>
    <m/>
    <m/>
  </r>
  <r>
    <x v="28"/>
    <x v="17"/>
    <x v="315"/>
    <n v="6.7899999619999996"/>
    <n v="6.7899999619999996"/>
    <n v="0"/>
    <n v="7.0000000000000007E-2"/>
    <n v="0.61000001400000003"/>
    <n v="6.1100001339999999"/>
    <n v="0"/>
    <n v="1"/>
    <n v="12"/>
    <n v="397"/>
    <n v="1030"/>
    <n v="2700"/>
    <x v="0"/>
    <m/>
    <m/>
    <m/>
    <m/>
  </r>
  <r>
    <x v="28"/>
    <x v="18"/>
    <x v="316"/>
    <n v="8.1400003430000005"/>
    <n v="8.1400003430000005"/>
    <n v="0"/>
    <n v="1.0499999520000001"/>
    <n v="0.790000021"/>
    <n v="6.2899999619999996"/>
    <n v="0"/>
    <n v="18"/>
    <n v="27"/>
    <n v="375"/>
    <n v="1020"/>
    <n v="2871"/>
    <x v="0"/>
    <m/>
    <m/>
    <m/>
    <m/>
  </r>
  <r>
    <x v="28"/>
    <x v="1"/>
    <x v="317"/>
    <n v="5.7699999809999998"/>
    <n v="4.9600000380000004"/>
    <n v="4.869782925"/>
    <n v="4.5"/>
    <n v="0.34000000400000002"/>
    <n v="0.939999998"/>
    <n v="0"/>
    <n v="53"/>
    <n v="6"/>
    <n v="43"/>
    <n v="405"/>
    <n v="1023"/>
    <x v="3"/>
    <m/>
    <m/>
    <m/>
    <m/>
  </r>
  <r>
    <x v="26"/>
    <x v="8"/>
    <x v="318"/>
    <n v="7.670000076"/>
    <n v="7.670000076"/>
    <n v="0"/>
    <n v="2.829999924"/>
    <n v="1.8899999860000001"/>
    <n v="2.9300000669999999"/>
    <n v="0"/>
    <n v="38"/>
    <n v="30"/>
    <n v="154"/>
    <n v="777"/>
    <n v="2496"/>
    <x v="0"/>
    <m/>
    <m/>
    <m/>
    <m/>
  </r>
  <r>
    <x v="26"/>
    <x v="9"/>
    <x v="319"/>
    <n v="0.02"/>
    <n v="0.02"/>
    <n v="0"/>
    <n v="0"/>
    <n v="0"/>
    <n v="0.01"/>
    <n v="0"/>
    <n v="0"/>
    <n v="0"/>
    <n v="2"/>
    <n v="872"/>
    <n v="1641"/>
    <x v="1"/>
    <m/>
    <m/>
    <m/>
    <m/>
  </r>
  <r>
    <x v="26"/>
    <x v="10"/>
    <x v="320"/>
    <n v="1.309999943"/>
    <n v="1.309999943"/>
    <n v="0"/>
    <n v="0.23000000400000001"/>
    <n v="0.34999999399999998"/>
    <n v="0.730000019"/>
    <n v="0"/>
    <n v="3"/>
    <n v="6"/>
    <n v="27"/>
    <n v="1404"/>
    <n v="1794"/>
    <x v="1"/>
    <m/>
    <m/>
    <m/>
    <m/>
  </r>
  <r>
    <x v="26"/>
    <x v="11"/>
    <x v="321"/>
    <n v="3.869999886"/>
    <n v="3.869999886"/>
    <n v="0"/>
    <n v="0.52999997099999996"/>
    <n v="0.23000000400000001"/>
    <n v="3.0999999049999998"/>
    <n v="0"/>
    <n v="31"/>
    <n v="24"/>
    <n v="138"/>
    <n v="1247"/>
    <n v="2421"/>
    <x v="3"/>
    <m/>
    <m/>
    <m/>
    <m/>
  </r>
  <r>
    <x v="26"/>
    <x v="12"/>
    <x v="322"/>
    <n v="4.9899997709999999"/>
    <n v="4.9899997709999999"/>
    <n v="0"/>
    <n v="1.7999999520000001"/>
    <n v="0.52999997099999996"/>
    <n v="2.6099998950000001"/>
    <n v="2.9999998999999999E-2"/>
    <n v="25"/>
    <n v="33"/>
    <n v="132"/>
    <n v="1159"/>
    <n v="2439"/>
    <x v="3"/>
    <m/>
    <m/>
    <m/>
    <m/>
  </r>
  <r>
    <x v="26"/>
    <x v="13"/>
    <x v="323"/>
    <n v="4.7300000190000002"/>
    <n v="4.7300000190000002"/>
    <n v="0"/>
    <n v="1.4099999670000001"/>
    <n v="0.77999997099999996"/>
    <n v="2.5299999710000001"/>
    <n v="0"/>
    <n v="19"/>
    <n v="14"/>
    <n v="124"/>
    <n v="814"/>
    <n v="2233"/>
    <x v="3"/>
    <m/>
    <m/>
    <m/>
    <m/>
  </r>
  <r>
    <x v="26"/>
    <x v="14"/>
    <x v="324"/>
    <n v="10.81999969"/>
    <n v="10.81999969"/>
    <n v="0"/>
    <n v="7.2300000190000002"/>
    <n v="1.1200000050000001"/>
    <n v="2.4300000669999999"/>
    <n v="2.9999998999999999E-2"/>
    <n v="76"/>
    <n v="30"/>
    <n v="127"/>
    <n v="695"/>
    <n v="2862"/>
    <x v="0"/>
    <m/>
    <m/>
    <m/>
    <m/>
  </r>
  <r>
    <x v="26"/>
    <x v="15"/>
    <x v="325"/>
    <n v="6.5199999809999998"/>
    <n v="6.5199999809999998"/>
    <n v="0"/>
    <n v="2.5"/>
    <n v="1.3999999759999999"/>
    <n v="2.5899999139999998"/>
    <n v="0"/>
    <n v="50"/>
    <n v="48"/>
    <n v="140"/>
    <n v="797"/>
    <n v="2752"/>
    <x v="2"/>
    <m/>
    <m/>
    <m/>
    <m/>
  </r>
  <r>
    <x v="26"/>
    <x v="16"/>
    <x v="326"/>
    <n v="4.670000076"/>
    <n v="4.670000076"/>
    <n v="0"/>
    <n v="1.0800000430000001"/>
    <n v="0.12999999500000001"/>
    <n v="3.460000038"/>
    <n v="0"/>
    <n v="27"/>
    <n v="5"/>
    <n v="204"/>
    <n v="717"/>
    <n v="2519"/>
    <x v="3"/>
    <m/>
    <m/>
    <m/>
    <m/>
  </r>
  <r>
    <x v="26"/>
    <x v="17"/>
    <x v="327"/>
    <n v="0.34999999399999998"/>
    <n v="0.34999999399999998"/>
    <n v="0"/>
    <n v="0"/>
    <n v="0"/>
    <n v="0.34000000400000002"/>
    <n v="0"/>
    <n v="0"/>
    <n v="0"/>
    <n v="27"/>
    <n v="1368"/>
    <n v="1799"/>
    <x v="1"/>
    <m/>
    <m/>
    <m/>
    <m/>
  </r>
  <r>
    <x v="26"/>
    <x v="18"/>
    <x v="328"/>
    <n v="3.920000076"/>
    <n v="3.920000076"/>
    <n v="0"/>
    <n v="0.74000001000000004"/>
    <n v="0.23000000400000001"/>
    <n v="2.9300000669999999"/>
    <n v="0"/>
    <n v="46"/>
    <n v="22"/>
    <n v="126"/>
    <n v="741"/>
    <n v="2543"/>
    <x v="3"/>
    <m/>
    <m/>
    <m/>
    <m/>
  </r>
  <r>
    <x v="29"/>
    <x v="9"/>
    <x v="329"/>
    <n v="15.619999890000001"/>
    <n v="15.619999890000001"/>
    <n v="0"/>
    <n v="12.06000042"/>
    <n v="0.85000002399999997"/>
    <n v="2.710000038"/>
    <n v="0"/>
    <n v="124"/>
    <n v="19"/>
    <n v="172"/>
    <n v="1125"/>
    <n v="3377"/>
    <x v="0"/>
    <m/>
    <m/>
    <m/>
    <m/>
  </r>
  <r>
    <x v="29"/>
    <x v="10"/>
    <x v="330"/>
    <n v="20.13999939"/>
    <n v="20.13999939"/>
    <n v="0"/>
    <n v="16.81999969"/>
    <n v="1.6299999949999999"/>
    <n v="1.690000057"/>
    <n v="0"/>
    <n v="165"/>
    <n v="36"/>
    <n v="97"/>
    <n v="1142"/>
    <n v="3697"/>
    <x v="0"/>
    <m/>
    <m/>
    <m/>
    <m/>
  </r>
  <r>
    <x v="29"/>
    <x v="11"/>
    <x v="331"/>
    <n v="13.210000040000001"/>
    <n v="13.210000040000001"/>
    <n v="0"/>
    <n v="9.6700000760000009"/>
    <n v="0.18000000699999999"/>
    <n v="3.3499999049999998"/>
    <n v="0"/>
    <n v="100"/>
    <n v="4"/>
    <n v="213"/>
    <n v="1123"/>
    <n v="3209"/>
    <x v="0"/>
    <m/>
    <m/>
    <m/>
    <m/>
  </r>
  <r>
    <x v="29"/>
    <x v="12"/>
    <x v="332"/>
    <n v="13.40999985"/>
    <n v="13.40999985"/>
    <n v="0"/>
    <n v="9.9600000380000004"/>
    <n v="0.310000002"/>
    <n v="3.1400001049999999"/>
    <n v="0"/>
    <n v="98"/>
    <n v="8"/>
    <n v="184"/>
    <n v="1150"/>
    <n v="3167"/>
    <x v="0"/>
    <m/>
    <m/>
    <m/>
    <m/>
  </r>
  <r>
    <x v="29"/>
    <x v="13"/>
    <x v="333"/>
    <n v="12.420000079999999"/>
    <n v="12.420000079999999"/>
    <n v="0"/>
    <n v="8.9600000380000004"/>
    <n v="0.55000001200000004"/>
    <n v="2.9100000860000002"/>
    <n v="0"/>
    <n v="100"/>
    <n v="14"/>
    <n v="191"/>
    <n v="1135"/>
    <n v="3122"/>
    <x v="0"/>
    <m/>
    <m/>
    <m/>
    <m/>
  </r>
  <r>
    <x v="29"/>
    <x v="14"/>
    <x v="334"/>
    <n v="13.19999981"/>
    <n v="13.19999981"/>
    <n v="0"/>
    <n v="9.9700002669999996"/>
    <n v="0.23999999499999999"/>
    <n v="2.9900000100000002"/>
    <n v="0"/>
    <n v="101"/>
    <n v="6"/>
    <n v="190"/>
    <n v="1143"/>
    <n v="3176"/>
    <x v="0"/>
    <m/>
    <m/>
    <m/>
    <m/>
  </r>
  <r>
    <x v="29"/>
    <x v="15"/>
    <x v="335"/>
    <n v="9.5399999619999996"/>
    <n v="9.5399999619999996"/>
    <n v="0"/>
    <n v="6.7699999809999998"/>
    <n v="0.25999999000000001"/>
    <n v="2.5"/>
    <n v="0"/>
    <n v="60"/>
    <n v="6"/>
    <n v="153"/>
    <n v="1221"/>
    <n v="2790"/>
    <x v="0"/>
    <m/>
    <m/>
    <m/>
    <m/>
  </r>
  <r>
    <x v="29"/>
    <x v="16"/>
    <x v="336"/>
    <n v="9.1400003430000005"/>
    <n v="9.1400003430000005"/>
    <n v="0"/>
    <n v="6.6900000569999998"/>
    <n v="0.25"/>
    <n v="2.1900000569999998"/>
    <n v="0"/>
    <n v="59"/>
    <n v="6"/>
    <n v="120"/>
    <n v="1255"/>
    <n v="2715"/>
    <x v="0"/>
    <m/>
    <m/>
    <m/>
    <m/>
  </r>
  <r>
    <x v="29"/>
    <x v="17"/>
    <x v="337"/>
    <n v="7.7300000190000002"/>
    <n v="7.7300000190000002"/>
    <n v="0"/>
    <n v="3.0499999519999998"/>
    <n v="0.80000001200000004"/>
    <n v="3.880000114"/>
    <n v="0"/>
    <n v="30"/>
    <n v="18"/>
    <n v="207"/>
    <n v="1185"/>
    <n v="2684"/>
    <x v="0"/>
    <m/>
    <m/>
    <m/>
    <m/>
  </r>
  <r>
    <x v="29"/>
    <x v="18"/>
    <x v="338"/>
    <n v="12.72000027"/>
    <n v="12.72000027"/>
    <n v="0"/>
    <n v="9.9799995419999998"/>
    <n v="0.36000001399999998"/>
    <n v="2.380000114"/>
    <n v="0"/>
    <n v="96"/>
    <n v="8"/>
    <n v="155"/>
    <n v="1181"/>
    <n v="3097"/>
    <x v="0"/>
    <m/>
    <m/>
    <m/>
    <m/>
  </r>
  <r>
    <x v="29"/>
    <x v="1"/>
    <x v="339"/>
    <n v="0.209999993"/>
    <n v="0.209999993"/>
    <n v="0"/>
    <n v="0"/>
    <n v="0"/>
    <n v="0.209999993"/>
    <n v="0"/>
    <n v="0"/>
    <n v="0"/>
    <n v="16"/>
    <n v="599"/>
    <n v="791"/>
    <x v="1"/>
    <m/>
    <m/>
    <m/>
    <m/>
  </r>
  <r>
    <x v="30"/>
    <x v="8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9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10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11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12"/>
    <x v="53"/>
    <n v="0"/>
    <n v="0"/>
    <n v="0"/>
    <n v="0"/>
    <n v="0"/>
    <n v="0"/>
    <n v="0"/>
    <n v="0"/>
    <n v="0"/>
    <n v="0"/>
    <n v="1440"/>
    <n v="1429"/>
    <x v="1"/>
    <m/>
    <m/>
    <m/>
    <m/>
  </r>
  <r>
    <x v="30"/>
    <x v="13"/>
    <x v="340"/>
    <n v="1.2799999710000001"/>
    <n v="1.2799999710000001"/>
    <n v="0"/>
    <n v="0"/>
    <n v="0"/>
    <n v="1.2799999710000001"/>
    <n v="0"/>
    <n v="0"/>
    <n v="0"/>
    <n v="94"/>
    <n v="1346"/>
    <n v="1607"/>
    <x v="1"/>
    <m/>
    <m/>
    <m/>
    <m/>
  </r>
  <r>
    <x v="30"/>
    <x v="14"/>
    <x v="341"/>
    <n v="3.420000076"/>
    <n v="3.420000076"/>
    <n v="0"/>
    <n v="1"/>
    <n v="0.91000002599999996"/>
    <n v="1.5099999900000001"/>
    <n v="0.01"/>
    <n v="15"/>
    <n v="15"/>
    <n v="107"/>
    <n v="1303"/>
    <n v="1776"/>
    <x v="3"/>
    <m/>
    <m/>
    <m/>
    <m/>
  </r>
  <r>
    <x v="30"/>
    <x v="15"/>
    <x v="342"/>
    <n v="9.1499996190000008"/>
    <n v="9.1499996190000008"/>
    <n v="0"/>
    <n v="5.6999998090000004"/>
    <n v="0.93000000699999996"/>
    <n v="2.5099999899999998"/>
    <n v="0"/>
    <n v="47"/>
    <n v="13"/>
    <n v="150"/>
    <n v="1230"/>
    <n v="2162"/>
    <x v="0"/>
    <m/>
    <m/>
    <m/>
    <m/>
  </r>
  <r>
    <x v="30"/>
    <x v="16"/>
    <x v="343"/>
    <n v="3.539999962"/>
    <n v="3.539999962"/>
    <n v="0"/>
    <n v="0.540000021"/>
    <n v="1.5499999520000001"/>
    <n v="1.460000038"/>
    <n v="0"/>
    <n v="8"/>
    <n v="28"/>
    <n v="148"/>
    <n v="1256"/>
    <n v="1832"/>
    <x v="3"/>
    <m/>
    <m/>
    <m/>
    <m/>
  </r>
  <r>
    <x v="30"/>
    <x v="17"/>
    <x v="344"/>
    <n v="1.6799999480000001"/>
    <n v="1.6799999480000001"/>
    <n v="0"/>
    <n v="0"/>
    <n v="0"/>
    <n v="1.6699999569999999"/>
    <n v="0.02"/>
    <n v="0"/>
    <n v="0"/>
    <n v="126"/>
    <n v="1314"/>
    <n v="1657"/>
    <x v="1"/>
    <m/>
    <m/>
    <m/>
    <m/>
  </r>
  <r>
    <x v="30"/>
    <x v="18"/>
    <x v="345"/>
    <n v="1.0800000430000001"/>
    <n v="1.0800000430000001"/>
    <n v="0"/>
    <n v="0"/>
    <n v="0"/>
    <n v="1.0800000430000001"/>
    <n v="0"/>
    <n v="0"/>
    <n v="0"/>
    <n v="86"/>
    <n v="1139"/>
    <n v="1377"/>
    <x v="1"/>
    <m/>
    <m/>
    <m/>
    <m/>
  </r>
  <r>
    <x v="30"/>
    <x v="1"/>
    <x v="53"/>
    <n v="0"/>
    <n v="0"/>
    <n v="0"/>
    <n v="0"/>
    <n v="0"/>
    <n v="0"/>
    <n v="0"/>
    <n v="0"/>
    <n v="0"/>
    <n v="0"/>
    <n v="1440"/>
    <n v="0"/>
    <x v="1"/>
    <m/>
    <m/>
    <m/>
    <m/>
  </r>
  <r>
    <x v="31"/>
    <x v="8"/>
    <x v="346"/>
    <n v="11.239999770000001"/>
    <n v="11.239999770000001"/>
    <n v="0"/>
    <n v="6.2300000190000002"/>
    <n v="1.059999943"/>
    <n v="3.960000038"/>
    <n v="0"/>
    <n v="73"/>
    <n v="21"/>
    <n v="195"/>
    <n v="719"/>
    <n v="3669"/>
    <x v="0"/>
    <m/>
    <m/>
    <m/>
    <m/>
  </r>
  <r>
    <x v="31"/>
    <x v="9"/>
    <x v="347"/>
    <n v="2.6600000860000002"/>
    <n v="2.6600000860000002"/>
    <n v="0"/>
    <n v="0"/>
    <n v="0"/>
    <n v="2.6600000860000002"/>
    <n v="0"/>
    <n v="0"/>
    <n v="0"/>
    <n v="144"/>
    <n v="657"/>
    <n v="2702"/>
    <x v="1"/>
    <m/>
    <m/>
    <m/>
    <m/>
  </r>
  <r>
    <x v="31"/>
    <x v="10"/>
    <x v="348"/>
    <n v="7.2600002290000001"/>
    <n v="7.2600002290000001"/>
    <n v="0"/>
    <n v="1.9900000099999999"/>
    <n v="0.81999999300000004"/>
    <n v="4.4499998090000004"/>
    <n v="0"/>
    <n v="25"/>
    <n v="13"/>
    <n v="243"/>
    <n v="600"/>
    <n v="3304"/>
    <x v="2"/>
    <m/>
    <m/>
    <m/>
    <m/>
  </r>
  <r>
    <x v="31"/>
    <x v="11"/>
    <x v="349"/>
    <n v="11.05000019"/>
    <n v="11.05000019"/>
    <n v="2.0921471120000001"/>
    <n v="4.0900001530000001"/>
    <n v="0.790000021"/>
    <n v="6.170000076"/>
    <n v="0"/>
    <n v="105"/>
    <n v="16"/>
    <n v="220"/>
    <n v="658"/>
    <n v="4234"/>
    <x v="0"/>
    <m/>
    <m/>
    <m/>
    <m/>
  </r>
  <r>
    <x v="31"/>
    <x v="12"/>
    <x v="350"/>
    <n v="10.18999958"/>
    <n v="10.18999958"/>
    <n v="2.2530810830000001"/>
    <n v="5"/>
    <n v="0.75"/>
    <n v="4.4400000569999998"/>
    <n v="0"/>
    <n v="113"/>
    <n v="15"/>
    <n v="189"/>
    <n v="686"/>
    <n v="4128"/>
    <x v="0"/>
    <m/>
    <m/>
    <m/>
    <m/>
  </r>
  <r>
    <x v="31"/>
    <x v="13"/>
    <x v="351"/>
    <n v="7.2399997709999999"/>
    <n v="7.2399997709999999"/>
    <n v="2.0921471120000001"/>
    <n v="0"/>
    <n v="0.25"/>
    <n v="6.9899997709999999"/>
    <n v="0"/>
    <n v="55"/>
    <n v="6"/>
    <n v="230"/>
    <n v="728"/>
    <n v="3798"/>
    <x v="2"/>
    <m/>
    <m/>
    <m/>
    <m/>
  </r>
  <r>
    <x v="31"/>
    <x v="14"/>
    <x v="352"/>
    <n v="7.7100000380000004"/>
    <n v="7.7100000380000004"/>
    <n v="2.2530810830000001"/>
    <n v="2.4100000860000002"/>
    <n v="0.52999997099999996"/>
    <n v="4.7699999809999998"/>
    <n v="0"/>
    <n v="83"/>
    <n v="11"/>
    <n v="181"/>
    <n v="670"/>
    <n v="3839"/>
    <x v="2"/>
    <m/>
    <m/>
    <m/>
    <m/>
  </r>
  <r>
    <x v="31"/>
    <x v="15"/>
    <x v="353"/>
    <n v="6.6199998860000004"/>
    <n v="6.6199998860000004"/>
    <n v="2.0921471120000001"/>
    <n v="1.4900000099999999"/>
    <n v="0.52999997099999996"/>
    <n v="4.6100001339999999"/>
    <n v="0"/>
    <n v="72"/>
    <n v="10"/>
    <n v="167"/>
    <n v="868"/>
    <n v="3713"/>
    <x v="2"/>
    <m/>
    <m/>
    <m/>
    <m/>
  </r>
  <r>
    <x v="31"/>
    <x v="16"/>
    <x v="354"/>
    <n v="1.7799999710000001"/>
    <n v="1.7799999710000001"/>
    <n v="0"/>
    <n v="0"/>
    <n v="0"/>
    <n v="1.7799999710000001"/>
    <n v="0"/>
    <n v="0"/>
    <n v="0"/>
    <n v="110"/>
    <n v="843"/>
    <n v="2606"/>
    <x v="1"/>
    <m/>
    <m/>
    <m/>
    <m/>
  </r>
  <r>
    <x v="31"/>
    <x v="17"/>
    <x v="355"/>
    <n v="2.0899999139999998"/>
    <n v="2.0899999139999998"/>
    <n v="0"/>
    <n v="0"/>
    <n v="0"/>
    <n v="2.0899999139999998"/>
    <n v="0"/>
    <n v="0"/>
    <n v="0"/>
    <n v="117"/>
    <n v="727"/>
    <n v="2624"/>
    <x v="1"/>
    <m/>
    <m/>
    <m/>
    <m/>
  </r>
  <r>
    <x v="31"/>
    <x v="18"/>
    <x v="356"/>
    <n v="7.0100002290000001"/>
    <n v="7.0100002290000001"/>
    <n v="2.0921471120000001"/>
    <n v="1.539999962"/>
    <n v="0.87999999500000003"/>
    <n v="4.5900001530000001"/>
    <n v="0"/>
    <n v="74"/>
    <n v="17"/>
    <n v="182"/>
    <n v="811"/>
    <n v="3775"/>
    <x v="2"/>
    <m/>
    <m/>
    <m/>
    <m/>
  </r>
  <r>
    <x v="31"/>
    <x v="1"/>
    <x v="357"/>
    <n v="2.5699999330000001"/>
    <n v="2.5699999330000001"/>
    <n v="2.2530810830000001"/>
    <n v="0.829999983"/>
    <n v="0.709999979"/>
    <n v="1.0299999710000001"/>
    <n v="0"/>
    <n v="65"/>
    <n v="15"/>
    <n v="49"/>
    <n v="243"/>
    <n v="1882"/>
    <x v="1"/>
    <d v="2016-04-12T00:00:00"/>
    <n v="1"/>
    <n v="338"/>
    <n v="356"/>
  </r>
  <r>
    <x v="32"/>
    <x v="8"/>
    <x v="358"/>
    <n v="1.7000000479999999"/>
    <n v="1.7000000479999999"/>
    <n v="0"/>
    <n v="0"/>
    <n v="0"/>
    <n v="1.7000000479999999"/>
    <n v="0"/>
    <n v="0"/>
    <n v="0"/>
    <n v="112"/>
    <n v="1328"/>
    <n v="2360"/>
    <x v="1"/>
    <m/>
    <m/>
    <m/>
    <m/>
  </r>
  <r>
    <x v="32"/>
    <x v="9"/>
    <x v="359"/>
    <n v="2.7300000190000002"/>
    <n v="2.7300000190000002"/>
    <n v="0"/>
    <n v="0"/>
    <n v="0"/>
    <n v="2.6900000569999998"/>
    <n v="0"/>
    <n v="0"/>
    <n v="0"/>
    <n v="166"/>
    <n v="1274"/>
    <n v="2517"/>
    <x v="1"/>
    <m/>
    <m/>
    <m/>
    <m/>
  </r>
  <r>
    <x v="32"/>
    <x v="10"/>
    <x v="360"/>
    <n v="1.8600000139999999"/>
    <n v="1.8600000139999999"/>
    <n v="0"/>
    <n v="0"/>
    <n v="0"/>
    <n v="1.8600000139999999"/>
    <n v="0"/>
    <n v="0"/>
    <n v="0"/>
    <n v="131"/>
    <n v="1309"/>
    <n v="2400"/>
    <x v="1"/>
    <m/>
    <m/>
    <m/>
    <m/>
  </r>
  <r>
    <x v="32"/>
    <x v="11"/>
    <x v="361"/>
    <n v="2.460000038"/>
    <n v="2.460000038"/>
    <n v="0"/>
    <n v="0"/>
    <n v="0"/>
    <n v="2.460000038"/>
    <n v="0"/>
    <n v="0"/>
    <n v="0"/>
    <n v="147"/>
    <n v="1293"/>
    <n v="2462"/>
    <x v="1"/>
    <m/>
    <m/>
    <m/>
    <m/>
  </r>
  <r>
    <x v="32"/>
    <x v="12"/>
    <x v="362"/>
    <n v="5.329999924"/>
    <n v="5.329999924"/>
    <n v="0"/>
    <n v="0.37000000500000002"/>
    <n v="0.730000019"/>
    <n v="4.2399997709999999"/>
    <n v="0"/>
    <n v="5"/>
    <n v="15"/>
    <n v="212"/>
    <n v="1208"/>
    <n v="2786"/>
    <x v="3"/>
    <m/>
    <m/>
    <m/>
    <m/>
  </r>
  <r>
    <x v="32"/>
    <x v="13"/>
    <x v="101"/>
    <n v="1.6399999860000001"/>
    <n v="1.6399999860000001"/>
    <n v="0"/>
    <n v="0"/>
    <n v="0"/>
    <n v="1.6299999949999999"/>
    <n v="0"/>
    <n v="0"/>
    <n v="0"/>
    <n v="112"/>
    <n v="1328"/>
    <n v="2354"/>
    <x v="1"/>
    <m/>
    <m/>
    <m/>
    <m/>
  </r>
  <r>
    <x v="32"/>
    <x v="14"/>
    <x v="363"/>
    <n v="2.2000000480000002"/>
    <n v="2.2000000480000002"/>
    <n v="0"/>
    <n v="0"/>
    <n v="0"/>
    <n v="2.2000000480000002"/>
    <n v="0"/>
    <n v="0"/>
    <n v="0"/>
    <n v="138"/>
    <n v="1302"/>
    <n v="2437"/>
    <x v="1"/>
    <m/>
    <m/>
    <m/>
    <m/>
  </r>
  <r>
    <x v="32"/>
    <x v="15"/>
    <x v="364"/>
    <n v="1.1000000240000001"/>
    <n v="1.1000000240000001"/>
    <n v="0"/>
    <n v="0"/>
    <n v="0"/>
    <n v="1.1000000240000001"/>
    <n v="0"/>
    <n v="0"/>
    <n v="0"/>
    <n v="79"/>
    <n v="1052"/>
    <n v="1814"/>
    <x v="1"/>
    <m/>
    <m/>
    <m/>
    <m/>
  </r>
  <r>
    <x v="33"/>
    <x v="8"/>
    <x v="365"/>
    <n v="2.9400000569999998"/>
    <n v="2.9400000569999998"/>
    <n v="0"/>
    <n v="0.10000000100000001"/>
    <n v="0.14000000100000001"/>
    <n v="2.7000000480000002"/>
    <n v="0"/>
    <n v="4"/>
    <n v="8"/>
    <n v="176"/>
    <n v="748"/>
    <n v="2260"/>
    <x v="1"/>
    <m/>
    <m/>
    <m/>
    <m/>
  </r>
  <r>
    <x v="33"/>
    <x v="9"/>
    <x v="366"/>
    <n v="5.4099998469999999"/>
    <n v="5.4099998469999999"/>
    <n v="0"/>
    <n v="0.25999999000000001"/>
    <n v="0.38999998600000002"/>
    <n v="4.7600002290000001"/>
    <n v="0"/>
    <n v="9"/>
    <n v="24"/>
    <n v="328"/>
    <n v="1079"/>
    <n v="3004"/>
    <x v="2"/>
    <m/>
    <m/>
    <m/>
    <m/>
  </r>
  <r>
    <x v="33"/>
    <x v="10"/>
    <x v="367"/>
    <n v="4.6300001139999996"/>
    <n v="4.6300001139999996"/>
    <n v="0"/>
    <n v="0.109999999"/>
    <n v="0.23000000400000001"/>
    <n v="4.2899999619999996"/>
    <n v="0"/>
    <n v="2"/>
    <n v="6"/>
    <n v="279"/>
    <n v="636"/>
    <n v="2667"/>
    <x v="3"/>
    <m/>
    <m/>
    <m/>
    <m/>
  </r>
  <r>
    <x v="33"/>
    <x v="11"/>
    <x v="368"/>
    <n v="2.4500000480000002"/>
    <n v="2.4500000480000002"/>
    <n v="0"/>
    <n v="0"/>
    <n v="0.219999999"/>
    <n v="2.2300000190000002"/>
    <n v="0"/>
    <n v="0"/>
    <n v="9"/>
    <n v="161"/>
    <n v="675"/>
    <n v="2229"/>
    <x v="1"/>
    <m/>
    <m/>
    <m/>
    <m/>
  </r>
  <r>
    <x v="33"/>
    <x v="12"/>
    <x v="369"/>
    <n v="1.4900000099999999"/>
    <n v="1.4900000099999999"/>
    <n v="0"/>
    <n v="0.01"/>
    <n v="0.18000000699999999"/>
    <n v="1.2999999520000001"/>
    <n v="0"/>
    <n v="1"/>
    <n v="10"/>
    <n v="111"/>
    <n v="904"/>
    <n v="2100"/>
    <x v="1"/>
    <m/>
    <m/>
    <m/>
    <m/>
  </r>
  <r>
    <x v="33"/>
    <x v="13"/>
    <x v="370"/>
    <n v="1.3600000139999999"/>
    <n v="1.3600000139999999"/>
    <n v="0"/>
    <n v="0"/>
    <n v="0"/>
    <n v="1.3600000139999999"/>
    <n v="0"/>
    <n v="0"/>
    <n v="0"/>
    <n v="122"/>
    <n v="855"/>
    <n v="2114"/>
    <x v="1"/>
    <m/>
    <m/>
    <m/>
    <m/>
  </r>
  <r>
    <x v="33"/>
    <x v="14"/>
    <x v="371"/>
    <n v="0.829999983"/>
    <n v="0.829999983"/>
    <n v="0"/>
    <n v="0"/>
    <n v="0"/>
    <n v="0.829999983"/>
    <n v="0"/>
    <n v="0"/>
    <n v="0"/>
    <n v="77"/>
    <n v="888"/>
    <n v="1961"/>
    <x v="1"/>
    <m/>
    <m/>
    <m/>
    <m/>
  </r>
  <r>
    <x v="33"/>
    <x v="15"/>
    <x v="372"/>
    <n v="0.939999998"/>
    <n v="0.939999998"/>
    <n v="0"/>
    <n v="0.10000000100000001"/>
    <n v="0.209999993"/>
    <n v="0.62999999500000003"/>
    <n v="0"/>
    <n v="2"/>
    <n v="8"/>
    <n v="71"/>
    <n v="912"/>
    <n v="1953"/>
    <x v="1"/>
    <m/>
    <m/>
    <m/>
    <m/>
  </r>
  <r>
    <x v="33"/>
    <x v="16"/>
    <x v="373"/>
    <n v="0.64999997600000003"/>
    <n v="0.64999997600000003"/>
    <n v="0"/>
    <n v="0"/>
    <n v="0"/>
    <n v="0.64999997600000003"/>
    <n v="0"/>
    <n v="0"/>
    <n v="0"/>
    <n v="63"/>
    <n v="739"/>
    <n v="1890"/>
    <x v="1"/>
    <m/>
    <m/>
    <m/>
    <m/>
  </r>
  <r>
    <x v="33"/>
    <x v="17"/>
    <x v="374"/>
    <n v="2.9500000480000002"/>
    <n v="2.9500000480000002"/>
    <n v="0"/>
    <n v="0"/>
    <n v="0"/>
    <n v="2.9500000480000002"/>
    <n v="0"/>
    <n v="0"/>
    <n v="0"/>
    <n v="179"/>
    <n v="1261"/>
    <n v="2253"/>
    <x v="1"/>
    <m/>
    <m/>
    <m/>
    <m/>
  </r>
  <r>
    <x v="33"/>
    <x v="18"/>
    <x v="375"/>
    <n v="0.109999999"/>
    <n v="0.109999999"/>
    <n v="0"/>
    <n v="0"/>
    <n v="0"/>
    <n v="0.109999999"/>
    <n v="0"/>
    <n v="0"/>
    <n v="0"/>
    <n v="12"/>
    <n v="1428"/>
    <n v="1725"/>
    <x v="1"/>
    <m/>
    <m/>
    <m/>
    <m/>
  </r>
  <r>
    <x v="33"/>
    <x v="1"/>
    <x v="376"/>
    <n v="0.01"/>
    <n v="0.01"/>
    <n v="0"/>
    <n v="0"/>
    <n v="0"/>
    <n v="0.01"/>
    <n v="0"/>
    <n v="0"/>
    <n v="0"/>
    <n v="6"/>
    <n v="598"/>
    <n v="728"/>
    <x v="1"/>
    <d v="2016-04-12T00:00:00"/>
    <n v="1"/>
    <n v="458"/>
    <n v="493"/>
  </r>
  <r>
    <x v="34"/>
    <x v="8"/>
    <x v="377"/>
    <n v="15.81999969"/>
    <n v="15.81999969"/>
    <n v="0"/>
    <n v="8.6999998089999995"/>
    <n v="0.15999999600000001"/>
    <n v="6.9099998469999999"/>
    <n v="0"/>
    <n v="67"/>
    <n v="3"/>
    <n v="247"/>
    <n v="1123"/>
    <n v="3527"/>
    <x v="0"/>
    <m/>
    <m/>
    <m/>
    <m/>
  </r>
  <r>
    <x v="34"/>
    <x v="9"/>
    <x v="378"/>
    <n v="23.38999939"/>
    <n v="23.38999939"/>
    <n v="0"/>
    <n v="14.72000027"/>
    <n v="1.210000038"/>
    <n v="7.3400001530000001"/>
    <n v="0.01"/>
    <n v="116"/>
    <n v="24"/>
    <n v="260"/>
    <n v="1040"/>
    <n v="4220"/>
    <x v="0"/>
    <m/>
    <m/>
    <m/>
    <m/>
  </r>
  <r>
    <x v="34"/>
    <x v="10"/>
    <x v="379"/>
    <n v="8.1899995800000003"/>
    <n v="8.1899995800000003"/>
    <n v="0"/>
    <n v="1.7999999520000001"/>
    <n v="0.75"/>
    <n v="5.5700001720000003"/>
    <n v="0"/>
    <n v="106"/>
    <n v="17"/>
    <n v="259"/>
    <n v="1058"/>
    <n v="3864"/>
    <x v="0"/>
    <m/>
    <m/>
    <m/>
    <m/>
  </r>
  <r>
    <x v="34"/>
    <x v="11"/>
    <x v="380"/>
    <n v="18.409999849999998"/>
    <n v="18.409999849999998"/>
    <n v="0"/>
    <n v="11.72999954"/>
    <n v="0.64999997600000003"/>
    <n v="6"/>
    <n v="0"/>
    <n v="78"/>
    <n v="16"/>
    <n v="208"/>
    <n v="1138"/>
    <n v="3662"/>
    <x v="0"/>
    <m/>
    <m/>
    <m/>
    <m/>
  </r>
  <r>
    <x v="34"/>
    <x v="12"/>
    <x v="381"/>
    <n v="8.1199998860000004"/>
    <n v="8.1199998860000004"/>
    <n v="0"/>
    <n v="0.769999981"/>
    <n v="0.18000000699999999"/>
    <n v="7.0900001530000001"/>
    <n v="0.01"/>
    <n v="10"/>
    <n v="3"/>
    <n v="246"/>
    <n v="1181"/>
    <n v="2834"/>
    <x v="0"/>
    <m/>
    <m/>
    <m/>
    <m/>
  </r>
  <r>
    <x v="34"/>
    <x v="13"/>
    <x v="382"/>
    <n v="20.909999849999998"/>
    <n v="20.909999849999998"/>
    <n v="0"/>
    <n v="12.22000027"/>
    <n v="0.540000021"/>
    <n v="8.0799999239999991"/>
    <n v="0"/>
    <n v="87"/>
    <n v="16"/>
    <n v="318"/>
    <n v="1019"/>
    <n v="4039"/>
    <x v="0"/>
    <m/>
    <m/>
    <m/>
    <m/>
  </r>
  <r>
    <x v="34"/>
    <x v="14"/>
    <x v="383"/>
    <n v="8.4200000760000009"/>
    <n v="8.4200000760000009"/>
    <n v="0"/>
    <n v="2.960000038"/>
    <n v="0.38999998600000002"/>
    <n v="5.0300002099999999"/>
    <n v="0"/>
    <n v="32"/>
    <n v="11"/>
    <n v="212"/>
    <n v="1185"/>
    <n v="2947"/>
    <x v="0"/>
    <m/>
    <m/>
    <m/>
    <m/>
  </r>
  <r>
    <x v="34"/>
    <x v="15"/>
    <x v="384"/>
    <n v="20.38999939"/>
    <n v="20.38999939"/>
    <n v="0"/>
    <n v="11.100000380000001"/>
    <n v="0.62999999500000003"/>
    <n v="8.6199998860000004"/>
    <n v="0"/>
    <n v="70"/>
    <n v="29"/>
    <n v="359"/>
    <n v="982"/>
    <n v="4196"/>
    <x v="0"/>
    <m/>
    <m/>
    <m/>
    <m/>
  </r>
  <r>
    <x v="34"/>
    <x v="16"/>
    <x v="385"/>
    <n v="8.0699996949999999"/>
    <n v="8.0699996949999999"/>
    <n v="0"/>
    <n v="0"/>
    <n v="0.02"/>
    <n v="8.0200004580000002"/>
    <n v="0"/>
    <n v="90"/>
    <n v="9"/>
    <n v="289"/>
    <n v="1052"/>
    <n v="3841"/>
    <x v="0"/>
    <m/>
    <m/>
    <m/>
    <m/>
  </r>
  <r>
    <x v="34"/>
    <x v="17"/>
    <x v="386"/>
    <n v="27.530000690000001"/>
    <n v="27.530000690000001"/>
    <n v="0"/>
    <n v="21.920000080000001"/>
    <n v="1.1200000050000001"/>
    <n v="4.4600000380000004"/>
    <n v="0"/>
    <n v="128"/>
    <n v="46"/>
    <n v="211"/>
    <n v="1055"/>
    <n v="4526"/>
    <x v="0"/>
    <m/>
    <m/>
    <m/>
    <m/>
  </r>
  <r>
    <x v="34"/>
    <x v="18"/>
    <x v="387"/>
    <n v="8.0600004199999997"/>
    <n v="8.0600004199999997"/>
    <n v="0"/>
    <n v="1.4700000289999999"/>
    <n v="0.15000000599999999"/>
    <n v="6.3699998860000004"/>
    <n v="0.01"/>
    <n v="18"/>
    <n v="7"/>
    <n v="225"/>
    <n v="1190"/>
    <n v="2820"/>
    <x v="0"/>
    <m/>
    <m/>
    <m/>
    <m/>
  </r>
  <r>
    <x v="34"/>
    <x v="1"/>
    <x v="388"/>
    <n v="1.7799999710000001"/>
    <n v="1.7799999710000001"/>
    <n v="0"/>
    <n v="0"/>
    <n v="0"/>
    <n v="1.7799999710000001"/>
    <n v="0"/>
    <n v="0"/>
    <n v="0"/>
    <n v="58"/>
    <n v="531"/>
    <n v="938"/>
    <x v="1"/>
    <m/>
    <m/>
    <m/>
    <m/>
  </r>
  <r>
    <x v="35"/>
    <x v="32"/>
    <x v="389"/>
    <m/>
    <m/>
    <m/>
    <m/>
    <m/>
    <m/>
    <m/>
    <m/>
    <m/>
    <m/>
    <m/>
    <m/>
    <x v="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1">
  <r>
    <x v="0"/>
    <d v="2016-04-12T00:00:00"/>
    <n v="1"/>
    <x v="0"/>
    <n v="346"/>
    <d v="2016-04-12T00:00:00"/>
  </r>
  <r>
    <x v="0"/>
    <d v="2016-04-13T00:00:00"/>
    <n v="2"/>
    <x v="1"/>
    <n v="407"/>
    <d v="2016-04-13T00:00:00"/>
  </r>
  <r>
    <x v="0"/>
    <d v="2016-04-15T00:00:00"/>
    <n v="1"/>
    <x v="2"/>
    <n v="442"/>
    <d v="2016-04-15T00:00:00"/>
  </r>
  <r>
    <x v="0"/>
    <d v="2016-04-16T00:00:00"/>
    <n v="2"/>
    <x v="3"/>
    <n v="367"/>
    <d v="2016-04-16T00:00:00"/>
  </r>
  <r>
    <x v="0"/>
    <d v="2016-04-17T00:00:00"/>
    <n v="1"/>
    <x v="4"/>
    <n v="712"/>
    <d v="2016-04-17T00:00:00"/>
  </r>
  <r>
    <x v="0"/>
    <d v="2016-04-19T00:00:00"/>
    <n v="1"/>
    <x v="5"/>
    <n v="320"/>
    <d v="2016-04-19T00:00:00"/>
  </r>
  <r>
    <x v="0"/>
    <d v="2016-04-20T00:00:00"/>
    <n v="1"/>
    <x v="6"/>
    <n v="377"/>
    <d v="2016-04-20T00:00:00"/>
  </r>
  <r>
    <x v="0"/>
    <d v="2016-04-21T00:00:00"/>
    <n v="1"/>
    <x v="7"/>
    <n v="364"/>
    <d v="2016-04-21T00:00:00"/>
  </r>
  <r>
    <x v="0"/>
    <d v="2016-04-23T00:00:00"/>
    <n v="1"/>
    <x v="8"/>
    <n v="384"/>
    <d v="2016-04-23T00:00:00"/>
  </r>
  <r>
    <x v="0"/>
    <d v="2016-04-24T00:00:00"/>
    <n v="1"/>
    <x v="9"/>
    <n v="449"/>
    <d v="2016-04-24T00:00:00"/>
  </r>
  <r>
    <x v="0"/>
    <d v="2016-04-25T00:00:00"/>
    <n v="1"/>
    <x v="10"/>
    <n v="323"/>
    <d v="2016-04-25T00:00:00"/>
  </r>
  <r>
    <x v="0"/>
    <d v="2016-04-26T00:00:00"/>
    <n v="1"/>
    <x v="11"/>
    <n v="274"/>
    <d v="2016-04-26T00:00:00"/>
  </r>
  <r>
    <x v="0"/>
    <d v="2016-04-28T00:00:00"/>
    <n v="1"/>
    <x v="12"/>
    <n v="393"/>
    <d v="2016-04-28T00:00:00"/>
  </r>
  <r>
    <x v="0"/>
    <d v="2016-04-29T00:00:00"/>
    <n v="1"/>
    <x v="13"/>
    <n v="354"/>
    <d v="2016-04-29T00:00:00"/>
  </r>
  <r>
    <x v="0"/>
    <d v="2016-04-30T00:00:00"/>
    <n v="1"/>
    <x v="14"/>
    <n v="425"/>
    <d v="2016-04-30T00:00:00"/>
  </r>
  <r>
    <x v="0"/>
    <d v="2016-05-01T00:00:00"/>
    <n v="1"/>
    <x v="15"/>
    <n v="396"/>
    <d v="2016-05-01T00:00:00"/>
  </r>
  <r>
    <x v="0"/>
    <d v="2016-05-02T00:00:00"/>
    <n v="1"/>
    <x v="10"/>
    <n v="309"/>
    <d v="2016-05-02T00:00:00"/>
  </r>
  <r>
    <x v="0"/>
    <d v="2016-05-03T00:00:00"/>
    <n v="1"/>
    <x v="16"/>
    <n v="296"/>
    <d v="2016-05-03T00:00:00"/>
  </r>
  <r>
    <x v="0"/>
    <d v="2016-05-05T00:00:00"/>
    <n v="1"/>
    <x v="17"/>
    <n v="264"/>
    <d v="2016-05-05T00:00:00"/>
  </r>
  <r>
    <x v="0"/>
    <d v="2016-05-06T00:00:00"/>
    <n v="1"/>
    <x v="18"/>
    <n v="367"/>
    <d v="2016-05-06T00:00:00"/>
  </r>
  <r>
    <x v="0"/>
    <d v="2016-05-07T00:00:00"/>
    <n v="1"/>
    <x v="19"/>
    <n v="349"/>
    <d v="2016-05-07T00:00:00"/>
  </r>
  <r>
    <x v="0"/>
    <d v="2016-05-08T00:00:00"/>
    <n v="1"/>
    <x v="20"/>
    <n v="611"/>
    <d v="2016-05-08T00:00:00"/>
  </r>
  <r>
    <x v="0"/>
    <d v="2016-05-09T00:00:00"/>
    <n v="1"/>
    <x v="21"/>
    <n v="342"/>
    <d v="2016-05-09T00:00:00"/>
  </r>
  <r>
    <x v="0"/>
    <d v="2016-05-10T00:00:00"/>
    <n v="1"/>
    <x v="22"/>
    <n v="403"/>
    <d v="2016-05-10T00:00:00"/>
  </r>
  <r>
    <x v="0"/>
    <d v="2016-05-11T00:00:00"/>
    <n v="1"/>
    <x v="23"/>
    <n v="306"/>
    <d v="2016-05-11T00:00:00"/>
  </r>
  <r>
    <x v="1"/>
    <d v="2016-04-29T00:00:00"/>
    <n v="1"/>
    <x v="24"/>
    <n v="127"/>
    <d v="2016-04-29T00:00:00"/>
  </r>
  <r>
    <x v="1"/>
    <d v="2016-04-30T00:00:00"/>
    <n v="1"/>
    <x v="25"/>
    <n v="142"/>
    <d v="2016-04-30T00:00:00"/>
  </r>
  <r>
    <x v="1"/>
    <d v="2016-05-02T00:00:00"/>
    <n v="1"/>
    <x v="26"/>
    <n v="961"/>
    <d v="2016-05-02T00:00:00"/>
  </r>
  <r>
    <x v="1"/>
    <d v="2016-05-08T00:00:00"/>
    <n v="1"/>
    <x v="27"/>
    <n v="154"/>
    <d v="2016-05-08T00:00:00"/>
  </r>
  <r>
    <x v="2"/>
    <d v="2016-04-15T00:00:00"/>
    <n v="1"/>
    <x v="28"/>
    <n v="961"/>
    <d v="2016-04-15T00:00:00"/>
  </r>
  <r>
    <x v="2"/>
    <d v="2016-04-30T00:00:00"/>
    <n v="1"/>
    <x v="29"/>
    <n v="961"/>
    <d v="2016-04-30T00:00:00"/>
  </r>
  <r>
    <x v="2"/>
    <d v="2016-05-01T00:00:00"/>
    <n v="1"/>
    <x v="30"/>
    <n v="961"/>
    <d v="2016-05-01T00:00:00"/>
  </r>
  <r>
    <x v="3"/>
    <d v="2016-04-12T00:00:00"/>
    <n v="3"/>
    <x v="31"/>
    <n v="775"/>
    <d v="2016-04-12T00:00:00"/>
  </r>
  <r>
    <x v="3"/>
    <d v="2016-04-13T00:00:00"/>
    <n v="1"/>
    <x v="32"/>
    <n v="422"/>
    <d v="2016-04-13T00:00:00"/>
  </r>
  <r>
    <x v="3"/>
    <d v="2016-04-15T00:00:00"/>
    <n v="2"/>
    <x v="33"/>
    <n v="499"/>
    <d v="2016-04-15T00:00:00"/>
  </r>
  <r>
    <x v="3"/>
    <d v="2016-04-26T00:00:00"/>
    <n v="1"/>
    <x v="34"/>
    <n v="315"/>
    <d v="2016-04-26T00:00:00"/>
  </r>
  <r>
    <x v="3"/>
    <d v="2016-04-28T00:00:00"/>
    <n v="1"/>
    <x v="35"/>
    <n v="178"/>
    <d v="2016-04-28T00:00:00"/>
  </r>
  <r>
    <x v="4"/>
    <d v="2016-04-12T00:00:00"/>
    <n v="1"/>
    <x v="36"/>
    <n v="546"/>
    <d v="2016-04-12T00:00:00"/>
  </r>
  <r>
    <x v="4"/>
    <d v="2016-04-13T00:00:00"/>
    <n v="1"/>
    <x v="37"/>
    <n v="565"/>
    <d v="2016-04-13T00:00:00"/>
  </r>
  <r>
    <x v="4"/>
    <d v="2016-04-14T00:00:00"/>
    <n v="1"/>
    <x v="38"/>
    <n v="568"/>
    <d v="2016-04-14T00:00:00"/>
  </r>
  <r>
    <x v="4"/>
    <d v="2016-04-15T00:00:00"/>
    <n v="1"/>
    <x v="39"/>
    <n v="573"/>
    <d v="2016-04-15T00:00:00"/>
  </r>
  <r>
    <x v="4"/>
    <d v="2016-04-16T00:00:00"/>
    <n v="1"/>
    <x v="40"/>
    <n v="567"/>
    <d v="2016-04-16T00:00:00"/>
  </r>
  <r>
    <x v="4"/>
    <d v="2016-04-17T00:00:00"/>
    <n v="1"/>
    <x v="41"/>
    <n v="498"/>
    <d v="2016-04-17T00:00:00"/>
  </r>
  <r>
    <x v="4"/>
    <d v="2016-04-19T00:00:00"/>
    <n v="1"/>
    <x v="42"/>
    <n v="540"/>
    <d v="2016-04-19T00:00:00"/>
  </r>
  <r>
    <x v="4"/>
    <d v="2016-04-20T00:00:00"/>
    <n v="1"/>
    <x v="43"/>
    <n v="510"/>
    <d v="2016-04-20T00:00:00"/>
  </r>
  <r>
    <x v="4"/>
    <d v="2016-04-21T00:00:00"/>
    <n v="1"/>
    <x v="44"/>
    <n v="514"/>
    <d v="2016-04-21T00:00:00"/>
  </r>
  <r>
    <x v="4"/>
    <d v="2016-04-22T00:00:00"/>
    <n v="1"/>
    <x v="45"/>
    <n v="545"/>
    <d v="2016-04-22T00:00:00"/>
  </r>
  <r>
    <x v="4"/>
    <d v="2016-04-23T00:00:00"/>
    <n v="1"/>
    <x v="46"/>
    <n v="554"/>
    <d v="2016-04-23T00:00:00"/>
  </r>
  <r>
    <x v="4"/>
    <d v="2016-04-24T00:00:00"/>
    <n v="1"/>
    <x v="47"/>
    <n v="591"/>
    <d v="2016-04-24T00:00:00"/>
  </r>
  <r>
    <x v="4"/>
    <d v="2016-04-25T00:00:00"/>
    <n v="1"/>
    <x v="48"/>
    <n v="531"/>
    <d v="2016-04-25T00:00:00"/>
  </r>
  <r>
    <x v="4"/>
    <d v="2016-04-27T00:00:00"/>
    <n v="1"/>
    <x v="49"/>
    <n v="545"/>
    <d v="2016-04-27T00:00:00"/>
  </r>
  <r>
    <x v="4"/>
    <d v="2016-04-28T00:00:00"/>
    <n v="1"/>
    <x v="50"/>
    <n v="545"/>
    <d v="2016-04-28T00:00:00"/>
  </r>
  <r>
    <x v="4"/>
    <d v="2016-04-29T00:00:00"/>
    <n v="1"/>
    <x v="51"/>
    <n v="510"/>
    <d v="2016-04-29T00:00:00"/>
  </r>
  <r>
    <x v="4"/>
    <d v="2016-04-30T00:00:00"/>
    <n v="1"/>
    <x v="52"/>
    <n v="607"/>
    <d v="2016-04-30T00:00:00"/>
  </r>
  <r>
    <x v="4"/>
    <d v="2016-05-01T00:00:00"/>
    <n v="1"/>
    <x v="53"/>
    <n v="546"/>
    <d v="2016-05-01T00:00:00"/>
  </r>
  <r>
    <x v="4"/>
    <d v="2016-05-02T00:00:00"/>
    <n v="1"/>
    <x v="54"/>
    <n v="543"/>
    <d v="2016-05-02T00:00:00"/>
  </r>
  <r>
    <x v="4"/>
    <d v="2016-05-04T00:00:00"/>
    <n v="1"/>
    <x v="55"/>
    <n v="560"/>
    <d v="2016-05-04T00:00:00"/>
  </r>
  <r>
    <x v="4"/>
    <d v="2016-05-05T00:00:00"/>
    <n v="1"/>
    <x v="56"/>
    <n v="485"/>
    <d v="2016-05-05T00:00:00"/>
  </r>
  <r>
    <x v="4"/>
    <d v="2016-05-06T00:00:00"/>
    <n v="1"/>
    <x v="40"/>
    <n v="548"/>
    <d v="2016-05-06T00:00:00"/>
  </r>
  <r>
    <x v="4"/>
    <d v="2016-05-07T00:00:00"/>
    <n v="1"/>
    <x v="54"/>
    <n v="521"/>
    <d v="2016-05-07T00:00:00"/>
  </r>
  <r>
    <x v="4"/>
    <d v="2016-05-08T00:00:00"/>
    <n v="1"/>
    <x v="57"/>
    <n v="568"/>
    <d v="2016-05-08T00:00:00"/>
  </r>
  <r>
    <x v="4"/>
    <d v="2016-05-09T00:00:00"/>
    <n v="1"/>
    <x v="37"/>
    <n v="556"/>
    <d v="2016-05-09T00:00:00"/>
  </r>
  <r>
    <x v="4"/>
    <d v="2016-05-10T00:00:00"/>
    <n v="1"/>
    <x v="58"/>
    <n v="380"/>
    <d v="2016-05-10T00:00:00"/>
  </r>
  <r>
    <x v="4"/>
    <d v="2016-05-11T00:00:00"/>
    <n v="1"/>
    <x v="39"/>
    <n v="553"/>
    <d v="2016-05-11T00:00:00"/>
  </r>
  <r>
    <x v="4"/>
    <d v="2016-05-12T00:00:00"/>
    <n v="1"/>
    <x v="59"/>
    <n v="485"/>
    <d v="2016-05-12T00:00:00"/>
  </r>
  <r>
    <x v="5"/>
    <d v="2016-04-23T00:00:00"/>
    <n v="1"/>
    <x v="60"/>
    <n v="69"/>
    <d v="2016-04-23T00:00:00"/>
  </r>
  <r>
    <x v="6"/>
    <d v="2016-04-13T00:00:00"/>
    <n v="1"/>
    <x v="61"/>
    <n v="531"/>
    <d v="2016-04-13T00:00:00"/>
  </r>
  <r>
    <x v="6"/>
    <d v="2016-04-14T00:00:00"/>
    <n v="1"/>
    <x v="62"/>
    <n v="489"/>
    <d v="2016-04-14T00:00:00"/>
  </r>
  <r>
    <x v="6"/>
    <d v="2016-04-15T00:00:00"/>
    <n v="1"/>
    <x v="63"/>
    <n v="504"/>
    <d v="2016-04-15T00:00:00"/>
  </r>
  <r>
    <x v="6"/>
    <d v="2016-04-17T00:00:00"/>
    <n v="1"/>
    <x v="64"/>
    <n v="602"/>
    <d v="2016-04-17T00:00:00"/>
  </r>
  <r>
    <x v="6"/>
    <d v="2016-04-18T00:00:00"/>
    <n v="1"/>
    <x v="65"/>
    <n v="557"/>
    <d v="2016-04-18T00:00:00"/>
  </r>
  <r>
    <x v="6"/>
    <d v="2016-04-19T00:00:00"/>
    <n v="1"/>
    <x v="66"/>
    <n v="514"/>
    <d v="2016-04-19T00:00:00"/>
  </r>
  <r>
    <x v="6"/>
    <d v="2016-04-21T00:00:00"/>
    <n v="1"/>
    <x v="67"/>
    <n v="484"/>
    <d v="2016-04-21T00:00:00"/>
  </r>
  <r>
    <x v="6"/>
    <d v="2016-04-22T00:00:00"/>
    <n v="1"/>
    <x v="68"/>
    <n v="461"/>
    <d v="2016-04-22T00:00:00"/>
  </r>
  <r>
    <x v="6"/>
    <d v="2016-04-23T00:00:00"/>
    <n v="1"/>
    <x v="69"/>
    <n v="386"/>
    <d v="2016-04-23T00:00:00"/>
  </r>
  <r>
    <x v="6"/>
    <d v="2016-04-24T00:00:00"/>
    <n v="1"/>
    <x v="70"/>
    <n v="459"/>
    <d v="2016-04-24T00:00:00"/>
  </r>
  <r>
    <x v="6"/>
    <d v="2016-04-25T00:00:00"/>
    <n v="1"/>
    <x v="71"/>
    <n v="471"/>
    <d v="2016-04-25T00:00:00"/>
  </r>
  <r>
    <x v="6"/>
    <d v="2016-04-26T00:00:00"/>
    <n v="1"/>
    <x v="72"/>
    <n v="490"/>
    <d v="2016-04-26T00:00:00"/>
  </r>
  <r>
    <x v="6"/>
    <d v="2016-04-27T00:00:00"/>
    <n v="1"/>
    <x v="73"/>
    <n v="499"/>
    <d v="2016-04-27T00:00:00"/>
  </r>
  <r>
    <x v="6"/>
    <d v="2016-04-28T00:00:00"/>
    <n v="1"/>
    <x v="74"/>
    <n v="450"/>
    <d v="2016-04-28T00:00:00"/>
  </r>
  <r>
    <x v="6"/>
    <d v="2016-04-29T00:00:00"/>
    <n v="1"/>
    <x v="75"/>
    <n v="473"/>
    <d v="2016-04-29T00:00:00"/>
  </r>
  <r>
    <x v="7"/>
    <d v="2016-04-12T00:00:00"/>
    <n v="1"/>
    <x v="76"/>
    <n v="469"/>
    <d v="2016-04-12T00:00:00"/>
  </r>
  <r>
    <x v="7"/>
    <d v="2016-04-13T00:00:00"/>
    <n v="2"/>
    <x v="77"/>
    <n v="456"/>
    <d v="2016-04-13T00:00:00"/>
  </r>
  <r>
    <x v="7"/>
    <d v="2016-04-14T00:00:00"/>
    <n v="1"/>
    <x v="78"/>
    <n v="397"/>
    <d v="2016-04-14T00:00:00"/>
  </r>
  <r>
    <x v="7"/>
    <d v="2016-04-15T00:00:00"/>
    <n v="1"/>
    <x v="79"/>
    <n v="556"/>
    <d v="2016-04-15T00:00:00"/>
  </r>
  <r>
    <x v="7"/>
    <d v="2016-04-16T00:00:00"/>
    <n v="1"/>
    <x v="80"/>
    <n v="510"/>
    <d v="2016-04-16T00:00:00"/>
  </r>
  <r>
    <x v="7"/>
    <d v="2016-04-17T00:00:00"/>
    <n v="1"/>
    <x v="81"/>
    <n v="566"/>
    <d v="2016-04-17T00:00:00"/>
  </r>
  <r>
    <x v="7"/>
    <d v="2016-04-18T00:00:00"/>
    <n v="2"/>
    <x v="2"/>
    <n v="522"/>
    <d v="2016-04-18T00:00:00"/>
  </r>
  <r>
    <x v="7"/>
    <d v="2016-04-19T00:00:00"/>
    <n v="1"/>
    <x v="82"/>
    <n v="395"/>
    <d v="2016-04-19T00:00:00"/>
  </r>
  <r>
    <x v="7"/>
    <d v="2016-04-20T00:00:00"/>
    <n v="2"/>
    <x v="83"/>
    <n v="305"/>
    <d v="2016-04-20T00:00:00"/>
  </r>
  <r>
    <x v="7"/>
    <d v="2016-04-21T00:00:00"/>
    <n v="1"/>
    <x v="84"/>
    <n v="512"/>
    <d v="2016-04-21T00:00:00"/>
  </r>
  <r>
    <x v="7"/>
    <d v="2016-04-22T00:00:00"/>
    <n v="1"/>
    <x v="85"/>
    <n v="476"/>
    <d v="2016-04-22T00:00:00"/>
  </r>
  <r>
    <x v="7"/>
    <d v="2016-04-23T00:00:00"/>
    <n v="1"/>
    <x v="86"/>
    <n v="372"/>
    <d v="2016-04-23T00:00:00"/>
  </r>
  <r>
    <x v="7"/>
    <d v="2016-04-24T00:00:00"/>
    <n v="1"/>
    <x v="87"/>
    <n v="526"/>
    <d v="2016-04-24T00:00:00"/>
  </r>
  <r>
    <x v="7"/>
    <d v="2016-04-25T00:00:00"/>
    <n v="1"/>
    <x v="88"/>
    <n v="467"/>
    <d v="2016-04-25T00:00:00"/>
  </r>
  <r>
    <x v="7"/>
    <d v="2016-04-26T00:00:00"/>
    <n v="1"/>
    <x v="89"/>
    <n v="371"/>
    <d v="2016-04-26T00:00:00"/>
  </r>
  <r>
    <x v="7"/>
    <d v="2016-04-27T00:00:00"/>
    <n v="1"/>
    <x v="90"/>
    <n v="540"/>
    <d v="2016-04-27T00:00:00"/>
  </r>
  <r>
    <x v="7"/>
    <d v="2016-04-28T00:00:00"/>
    <n v="1"/>
    <x v="91"/>
    <n v="423"/>
    <d v="2016-04-28T00:00:00"/>
  </r>
  <r>
    <x v="7"/>
    <d v="2016-04-29T00:00:00"/>
    <n v="1"/>
    <x v="92"/>
    <n v="478"/>
    <d v="2016-04-29T00:00:00"/>
  </r>
  <r>
    <x v="7"/>
    <d v="2016-04-30T00:00:00"/>
    <n v="1"/>
    <x v="93"/>
    <n v="382"/>
    <d v="2016-04-30T00:00:00"/>
  </r>
  <r>
    <x v="7"/>
    <d v="2016-05-01T00:00:00"/>
    <n v="1"/>
    <x v="22"/>
    <n v="626"/>
    <d v="2016-05-01T00:00:00"/>
  </r>
  <r>
    <x v="7"/>
    <d v="2016-05-02T00:00:00"/>
    <n v="1"/>
    <x v="94"/>
    <n v="384"/>
    <d v="2016-05-02T00:00:00"/>
  </r>
  <r>
    <x v="7"/>
    <d v="2016-05-03T00:00:00"/>
    <n v="1"/>
    <x v="95"/>
    <n v="500"/>
    <d v="2016-05-03T00:00:00"/>
  </r>
  <r>
    <x v="7"/>
    <d v="2016-05-04T00:00:00"/>
    <n v="1"/>
    <x v="96"/>
    <n v="336"/>
    <d v="2016-05-04T00:00:00"/>
  </r>
  <r>
    <x v="7"/>
    <d v="2016-05-05T00:00:00"/>
    <n v="1"/>
    <x v="97"/>
    <n v="480"/>
    <d v="2016-05-05T00:00:00"/>
  </r>
  <r>
    <x v="7"/>
    <d v="2016-05-06T00:00:00"/>
    <n v="1"/>
    <x v="98"/>
    <n v="512"/>
    <d v="2016-05-06T00:00:00"/>
  </r>
  <r>
    <x v="7"/>
    <d v="2016-05-07T00:00:00"/>
    <n v="1"/>
    <x v="93"/>
    <n v="443"/>
    <d v="2016-05-07T00:00:00"/>
  </r>
  <r>
    <x v="7"/>
    <d v="2016-05-08T00:00:00"/>
    <n v="2"/>
    <x v="99"/>
    <n v="456"/>
    <d v="2016-05-08T00:00:00"/>
  </r>
  <r>
    <x v="7"/>
    <d v="2016-05-10T00:00:00"/>
    <n v="1"/>
    <x v="100"/>
    <n v="452"/>
    <d v="2016-05-10T00:00:00"/>
  </r>
  <r>
    <x v="8"/>
    <d v="2016-04-12T00:00:00"/>
    <n v="1"/>
    <x v="101"/>
    <n v="541"/>
    <d v="2016-04-12T00:00:00"/>
  </r>
  <r>
    <x v="8"/>
    <d v="2016-04-16T00:00:00"/>
    <n v="1"/>
    <x v="102"/>
    <n v="77"/>
    <d v="2016-04-16T00:00:00"/>
  </r>
  <r>
    <x v="8"/>
    <d v="2016-05-03T00:00:00"/>
    <n v="1"/>
    <x v="103"/>
    <n v="332"/>
    <d v="2016-05-03T00:00:00"/>
  </r>
  <r>
    <x v="8"/>
    <d v="2016-05-04T00:00:00"/>
    <n v="1"/>
    <x v="104"/>
    <n v="536"/>
    <d v="2016-05-04T00:00:00"/>
  </r>
  <r>
    <x v="8"/>
    <d v="2016-05-05T00:00:00"/>
    <n v="1"/>
    <x v="105"/>
    <n v="248"/>
    <d v="2016-05-05T00:00:00"/>
  </r>
  <r>
    <x v="8"/>
    <d v="2016-05-06T00:00:00"/>
    <n v="1"/>
    <x v="106"/>
    <n v="408"/>
    <d v="2016-05-06T00:00:00"/>
  </r>
  <r>
    <x v="8"/>
    <d v="2016-05-08T00:00:00"/>
    <n v="1"/>
    <x v="107"/>
    <n v="402"/>
    <d v="2016-05-08T00:00:00"/>
  </r>
  <r>
    <x v="8"/>
    <d v="2016-05-10T00:00:00"/>
    <n v="1"/>
    <x v="70"/>
    <n v="494"/>
    <d v="2016-05-10T00:00:00"/>
  </r>
  <r>
    <x v="9"/>
    <d v="2016-04-14T00:00:00"/>
    <n v="1"/>
    <x v="108"/>
    <n v="557"/>
    <d v="2016-04-14T00:00:00"/>
  </r>
  <r>
    <x v="9"/>
    <d v="2016-04-15T00:00:00"/>
    <n v="1"/>
    <x v="66"/>
    <n v="491"/>
    <d v="2016-04-15T00:00:00"/>
  </r>
  <r>
    <x v="9"/>
    <d v="2016-04-16T00:00:00"/>
    <n v="1"/>
    <x v="48"/>
    <n v="522"/>
    <d v="2016-04-16T00:00:00"/>
  </r>
  <r>
    <x v="9"/>
    <d v="2016-04-18T00:00:00"/>
    <n v="1"/>
    <x v="109"/>
    <n v="551"/>
    <d v="2016-04-18T00:00:00"/>
  </r>
  <r>
    <x v="9"/>
    <d v="2016-04-19T00:00:00"/>
    <n v="2"/>
    <x v="43"/>
    <n v="498"/>
    <d v="2016-04-19T00:00:00"/>
  </r>
  <r>
    <x v="9"/>
    <d v="2016-04-20T00:00:00"/>
    <n v="1"/>
    <x v="39"/>
    <n v="543"/>
    <d v="2016-04-20T00:00:00"/>
  </r>
  <r>
    <x v="9"/>
    <d v="2016-04-21T00:00:00"/>
    <n v="1"/>
    <x v="110"/>
    <n v="65"/>
    <d v="2016-04-21T00:00:00"/>
  </r>
  <r>
    <x v="9"/>
    <d v="2016-04-22T00:00:00"/>
    <n v="1"/>
    <x v="111"/>
    <n v="550"/>
    <d v="2016-04-22T00:00:00"/>
  </r>
  <r>
    <x v="9"/>
    <d v="2016-04-23T00:00:00"/>
    <n v="1"/>
    <x v="112"/>
    <n v="722"/>
    <d v="2016-04-23T00:00:00"/>
  </r>
  <r>
    <x v="9"/>
    <d v="2016-04-24T00:00:00"/>
    <n v="1"/>
    <x v="61"/>
    <n v="501"/>
    <d v="2016-04-24T00:00:00"/>
  </r>
  <r>
    <x v="9"/>
    <d v="2016-04-25T00:00:00"/>
    <n v="1"/>
    <x v="113"/>
    <n v="506"/>
    <d v="2016-04-25T00:00:00"/>
  </r>
  <r>
    <x v="9"/>
    <d v="2016-04-26T00:00:00"/>
    <n v="1"/>
    <x v="114"/>
    <n v="516"/>
    <d v="2016-04-26T00:00:00"/>
  </r>
  <r>
    <x v="9"/>
    <d v="2016-04-27T00:00:00"/>
    <n v="1"/>
    <x v="115"/>
    <n v="307"/>
    <d v="2016-04-27T00:00:00"/>
  </r>
  <r>
    <x v="9"/>
    <d v="2016-04-28T00:00:00"/>
    <n v="1"/>
    <x v="116"/>
    <n v="522"/>
    <d v="2016-04-28T00:00:00"/>
  </r>
  <r>
    <x v="9"/>
    <d v="2016-04-29T00:00:00"/>
    <n v="1"/>
    <x v="39"/>
    <n v="546"/>
    <d v="2016-04-29T00:00:00"/>
  </r>
  <r>
    <x v="9"/>
    <d v="2016-04-30T00:00:00"/>
    <n v="1"/>
    <x v="51"/>
    <n v="516"/>
    <d v="2016-04-30T00:00:00"/>
  </r>
  <r>
    <x v="9"/>
    <d v="2016-05-01T00:00:00"/>
    <n v="1"/>
    <x v="117"/>
    <n v="500"/>
    <d v="2016-05-01T00:00:00"/>
  </r>
  <r>
    <x v="9"/>
    <d v="2016-05-02T00:00:00"/>
    <n v="1"/>
    <x v="104"/>
    <n v="506"/>
    <d v="2016-05-02T00:00:00"/>
  </r>
  <r>
    <x v="9"/>
    <d v="2016-05-03T00:00:00"/>
    <n v="1"/>
    <x v="118"/>
    <n v="512"/>
    <d v="2016-05-03T00:00:00"/>
  </r>
  <r>
    <x v="9"/>
    <d v="2016-05-06T00:00:00"/>
    <n v="1"/>
    <x v="119"/>
    <n v="491"/>
    <d v="2016-05-06T00:00:00"/>
  </r>
  <r>
    <x v="9"/>
    <d v="2016-05-07T00:00:00"/>
    <n v="1"/>
    <x v="120"/>
    <n v="530"/>
    <d v="2016-05-07T00:00:00"/>
  </r>
  <r>
    <x v="9"/>
    <d v="2016-05-08T00:00:00"/>
    <n v="1"/>
    <x v="121"/>
    <n v="638"/>
    <d v="2016-05-08T00:00:00"/>
  </r>
  <r>
    <x v="9"/>
    <d v="2016-05-09T00:00:00"/>
    <n v="1"/>
    <x v="108"/>
    <n v="565"/>
    <d v="2016-05-09T00:00:00"/>
  </r>
  <r>
    <x v="9"/>
    <d v="2016-05-10T00:00:00"/>
    <n v="1"/>
    <x v="122"/>
    <n v="517"/>
    <d v="2016-05-10T00:00:00"/>
  </r>
  <r>
    <x v="9"/>
    <d v="2016-05-11T00:00:00"/>
    <n v="1"/>
    <x v="123"/>
    <n v="558"/>
    <d v="2016-05-11T00:00:00"/>
  </r>
  <r>
    <x v="9"/>
    <d v="2016-05-12T00:00:00"/>
    <n v="1"/>
    <x v="124"/>
    <n v="321"/>
    <d v="2016-05-12T00:00:00"/>
  </r>
  <r>
    <x v="10"/>
    <d v="2016-04-15T00:00:00"/>
    <n v="1"/>
    <x v="125"/>
    <n v="526"/>
    <d v="2016-04-15T00:00:00"/>
  </r>
  <r>
    <x v="10"/>
    <d v="2016-04-16T00:00:00"/>
    <n v="2"/>
    <x v="126"/>
    <n v="448"/>
    <d v="2016-04-16T00:00:00"/>
  </r>
  <r>
    <x v="10"/>
    <d v="2016-04-17T00:00:00"/>
    <n v="2"/>
    <x v="127"/>
    <n v="641"/>
    <d v="2016-04-17T00:00:00"/>
  </r>
  <r>
    <x v="10"/>
    <d v="2016-04-18T00:00:00"/>
    <n v="1"/>
    <x v="128"/>
    <n v="104"/>
    <d v="2016-04-18T00:00:00"/>
  </r>
  <r>
    <x v="10"/>
    <d v="2016-04-19T00:00:00"/>
    <n v="1"/>
    <x v="129"/>
    <n v="338"/>
    <d v="2016-04-19T00:00:00"/>
  </r>
  <r>
    <x v="10"/>
    <d v="2016-04-20T00:00:00"/>
    <n v="1"/>
    <x v="130"/>
    <n v="451"/>
    <d v="2016-04-20T00:00:00"/>
  </r>
  <r>
    <x v="10"/>
    <d v="2016-04-21T00:00:00"/>
    <n v="1"/>
    <x v="70"/>
    <n v="458"/>
    <d v="2016-04-21T00:00:00"/>
  </r>
  <r>
    <x v="10"/>
    <d v="2016-04-22T00:00:00"/>
    <n v="1"/>
    <x v="131"/>
    <n v="85"/>
    <d v="2016-04-22T00:00:00"/>
  </r>
  <r>
    <x v="10"/>
    <d v="2016-04-23T00:00:00"/>
    <n v="1"/>
    <x v="104"/>
    <n v="501"/>
    <d v="2016-04-23T00:00:00"/>
  </r>
  <r>
    <x v="10"/>
    <d v="2016-04-24T00:00:00"/>
    <n v="3"/>
    <x v="132"/>
    <n v="595"/>
    <d v="2016-04-24T00:00:00"/>
  </r>
  <r>
    <x v="10"/>
    <d v="2016-04-26T00:00:00"/>
    <n v="1"/>
    <x v="133"/>
    <n v="346"/>
    <d v="2016-04-26T00:00:00"/>
  </r>
  <r>
    <x v="10"/>
    <d v="2016-04-27T00:00:00"/>
    <n v="1"/>
    <x v="134"/>
    <n v="500"/>
    <d v="2016-04-27T00:00:00"/>
  </r>
  <r>
    <x v="10"/>
    <d v="2016-04-28T00:00:00"/>
    <n v="1"/>
    <x v="135"/>
    <n v="458"/>
    <d v="2016-04-28T00:00:00"/>
  </r>
  <r>
    <x v="10"/>
    <d v="2016-04-30T00:00:00"/>
    <n v="2"/>
    <x v="136"/>
    <n v="430"/>
    <d v="2016-04-30T00:00:00"/>
  </r>
  <r>
    <x v="10"/>
    <d v="2016-05-01T00:00:00"/>
    <n v="1"/>
    <x v="137"/>
    <n v="597"/>
    <d v="2016-05-01T00:00:00"/>
  </r>
  <r>
    <x v="10"/>
    <d v="2016-05-02T00:00:00"/>
    <n v="2"/>
    <x v="138"/>
    <n v="376"/>
    <d v="2016-05-02T00:00:00"/>
  </r>
  <r>
    <x v="10"/>
    <d v="2016-05-04T00:00:00"/>
    <n v="1"/>
    <x v="139"/>
    <n v="414"/>
    <d v="2016-05-04T00:00:00"/>
  </r>
  <r>
    <x v="10"/>
    <d v="2016-05-05T00:00:00"/>
    <n v="1"/>
    <x v="140"/>
    <n v="495"/>
    <d v="2016-05-05T00:00:00"/>
  </r>
  <r>
    <x v="10"/>
    <d v="2016-05-07T00:00:00"/>
    <n v="1"/>
    <x v="141"/>
    <n v="496"/>
    <d v="2016-05-07T00:00:00"/>
  </r>
  <r>
    <x v="10"/>
    <d v="2016-05-08T00:00:00"/>
    <n v="2"/>
    <x v="123"/>
    <n v="541"/>
    <d v="2016-05-08T00:00:00"/>
  </r>
  <r>
    <x v="10"/>
    <d v="2016-05-09T00:00:00"/>
    <n v="1"/>
    <x v="142"/>
    <n v="65"/>
    <d v="2016-05-09T00:00:00"/>
  </r>
  <r>
    <x v="10"/>
    <d v="2016-05-10T00:00:00"/>
    <n v="1"/>
    <x v="143"/>
    <n v="375"/>
    <d v="2016-05-10T00:00:00"/>
  </r>
  <r>
    <x v="10"/>
    <d v="2016-05-11T00:00:00"/>
    <n v="1"/>
    <x v="144"/>
    <n v="494"/>
    <d v="2016-05-11T00:00:00"/>
  </r>
  <r>
    <x v="11"/>
    <d v="2016-04-12T00:00:00"/>
    <n v="2"/>
    <x v="145"/>
    <n v="457"/>
    <d v="2016-04-12T00:00:00"/>
  </r>
  <r>
    <x v="11"/>
    <d v="2016-04-13T00:00:00"/>
    <n v="2"/>
    <x v="146"/>
    <n v="406"/>
    <d v="2016-04-13T00:00:00"/>
  </r>
  <r>
    <x v="11"/>
    <d v="2016-04-14T00:00:00"/>
    <n v="1"/>
    <x v="147"/>
    <n v="492"/>
    <d v="2016-04-14T00:00:00"/>
  </r>
  <r>
    <x v="11"/>
    <d v="2016-04-15T00:00:00"/>
    <n v="2"/>
    <x v="148"/>
    <n v="379"/>
    <d v="2016-04-15T00:00:00"/>
  </r>
  <r>
    <x v="11"/>
    <d v="2016-04-16T00:00:00"/>
    <n v="1"/>
    <x v="149"/>
    <n v="499"/>
    <d v="2016-04-16T00:00:00"/>
  </r>
  <r>
    <x v="11"/>
    <d v="2016-04-17T00:00:00"/>
    <n v="1"/>
    <x v="150"/>
    <n v="107"/>
    <d v="2016-04-17T00:00:00"/>
  </r>
  <r>
    <x v="11"/>
    <d v="2016-04-19T00:00:00"/>
    <n v="2"/>
    <x v="151"/>
    <n v="424"/>
    <d v="2016-04-19T00:00:00"/>
  </r>
  <r>
    <x v="11"/>
    <d v="2016-04-20T00:00:00"/>
    <n v="1"/>
    <x v="134"/>
    <n v="462"/>
    <d v="2016-04-20T00:00:00"/>
  </r>
  <r>
    <x v="11"/>
    <d v="2016-04-21T00:00:00"/>
    <n v="1"/>
    <x v="72"/>
    <n v="469"/>
    <d v="2016-04-21T00:00:00"/>
  </r>
  <r>
    <x v="11"/>
    <d v="2016-04-22T00:00:00"/>
    <n v="1"/>
    <x v="151"/>
    <n v="417"/>
    <d v="2016-04-22T00:00:00"/>
  </r>
  <r>
    <x v="11"/>
    <d v="2016-04-25T00:00:00"/>
    <n v="1"/>
    <x v="152"/>
    <n v="345"/>
    <d v="2016-04-25T00:00:00"/>
  </r>
  <r>
    <x v="11"/>
    <d v="2016-04-26T00:00:00"/>
    <n v="2"/>
    <x v="153"/>
    <n v="391"/>
    <d v="2016-04-26T00:00:00"/>
  </r>
  <r>
    <x v="11"/>
    <d v="2016-04-27T00:00:00"/>
    <n v="1"/>
    <x v="84"/>
    <n v="374"/>
    <d v="2016-04-27T00:00:00"/>
  </r>
  <r>
    <x v="11"/>
    <d v="2016-04-28T00:00:00"/>
    <n v="1"/>
    <x v="154"/>
    <n v="442"/>
    <d v="2016-04-28T00:00:00"/>
  </r>
  <r>
    <x v="11"/>
    <d v="2016-04-29T00:00:00"/>
    <n v="1"/>
    <x v="155"/>
    <n v="108"/>
    <d v="2016-04-29T00:00:00"/>
  </r>
  <r>
    <x v="11"/>
    <d v="2016-04-30T00:00:00"/>
    <n v="1"/>
    <x v="103"/>
    <n v="353"/>
    <d v="2016-04-30T00:00:00"/>
  </r>
  <r>
    <x v="11"/>
    <d v="2016-05-01T00:00:00"/>
    <n v="2"/>
    <x v="134"/>
    <n v="459"/>
    <d v="2016-05-01T00:00:00"/>
  </r>
  <r>
    <x v="11"/>
    <d v="2016-05-02T00:00:00"/>
    <n v="1"/>
    <x v="156"/>
    <n v="542"/>
    <d v="2016-05-02T00:00:00"/>
  </r>
  <r>
    <x v="11"/>
    <d v="2016-05-03T00:00:00"/>
    <n v="2"/>
    <x v="157"/>
    <n v="450"/>
    <d v="2016-05-03T00:00:00"/>
  </r>
  <r>
    <x v="11"/>
    <d v="2016-05-04T00:00:00"/>
    <n v="2"/>
    <x v="148"/>
    <n v="363"/>
    <d v="2016-05-04T00:00:00"/>
  </r>
  <r>
    <x v="11"/>
    <d v="2016-05-05T00:00:00"/>
    <n v="2"/>
    <x v="149"/>
    <n v="513"/>
    <d v="2016-05-05T00:00:00"/>
  </r>
  <r>
    <x v="11"/>
    <d v="2016-05-06T00:00:00"/>
    <n v="2"/>
    <x v="69"/>
    <n v="402"/>
    <d v="2016-05-06T00:00:00"/>
  </r>
  <r>
    <x v="11"/>
    <d v="2016-05-07T00:00:00"/>
    <n v="2"/>
    <x v="158"/>
    <n v="436"/>
    <d v="2016-05-07T00:00:00"/>
  </r>
  <r>
    <x v="11"/>
    <d v="2016-05-08T00:00:00"/>
    <n v="1"/>
    <x v="8"/>
    <n v="391"/>
    <d v="2016-05-08T00:00:00"/>
  </r>
  <r>
    <x v="11"/>
    <d v="2016-05-09T00:00:00"/>
    <n v="1"/>
    <x v="159"/>
    <n v="533"/>
    <d v="2016-05-09T00:00:00"/>
  </r>
  <r>
    <x v="11"/>
    <d v="2016-05-10T00:00:00"/>
    <n v="1"/>
    <x v="68"/>
    <n v="426"/>
    <d v="2016-05-10T00:00:00"/>
  </r>
  <r>
    <x v="11"/>
    <d v="2016-05-11T00:00:00"/>
    <n v="1"/>
    <x v="125"/>
    <n v="530"/>
    <d v="2016-05-11T00:00:00"/>
  </r>
  <r>
    <x v="11"/>
    <d v="2016-05-12T00:00:00"/>
    <n v="1"/>
    <x v="160"/>
    <n v="501"/>
    <d v="2016-05-12T00:00:00"/>
  </r>
  <r>
    <x v="12"/>
    <d v="2016-04-21T00:00:00"/>
    <n v="1"/>
    <x v="161"/>
    <n v="137"/>
    <d v="2016-04-21T00:00:00"/>
  </r>
  <r>
    <x v="12"/>
    <d v="2016-04-26T00:00:00"/>
    <n v="1"/>
    <x v="162"/>
    <n v="121"/>
    <d v="2016-04-26T00:00:00"/>
  </r>
  <r>
    <x v="12"/>
    <d v="2016-04-29T00:00:00"/>
    <n v="1"/>
    <x v="163"/>
    <n v="179"/>
    <d v="2016-04-29T00:00:00"/>
  </r>
  <r>
    <x v="12"/>
    <d v="2016-05-01T00:00:00"/>
    <n v="1"/>
    <x v="164"/>
    <n v="129"/>
    <d v="2016-05-01T00:00:00"/>
  </r>
  <r>
    <x v="12"/>
    <d v="2016-05-08T00:00:00"/>
    <n v="1"/>
    <x v="165"/>
    <n v="134"/>
    <d v="2016-05-08T00:00:00"/>
  </r>
  <r>
    <x v="13"/>
    <d v="2016-04-12T00:00:00"/>
    <n v="1"/>
    <x v="166"/>
    <n v="439"/>
    <d v="2016-04-12T00:00:00"/>
  </r>
  <r>
    <x v="13"/>
    <d v="2016-04-13T00:00:00"/>
    <n v="2"/>
    <x v="167"/>
    <n v="430"/>
    <d v="2016-04-13T00:00:00"/>
  </r>
  <r>
    <x v="13"/>
    <d v="2016-04-14T00:00:00"/>
    <n v="1"/>
    <x v="1"/>
    <n v="415"/>
    <d v="2016-04-14T00:00:00"/>
  </r>
  <r>
    <x v="13"/>
    <d v="2016-04-15T00:00:00"/>
    <n v="1"/>
    <x v="168"/>
    <n v="257"/>
    <d v="2016-04-15T00:00:00"/>
  </r>
  <r>
    <x v="13"/>
    <d v="2016-04-16T00:00:00"/>
    <n v="2"/>
    <x v="169"/>
    <n v="406"/>
    <d v="2016-04-16T00:00:00"/>
  </r>
  <r>
    <x v="13"/>
    <d v="2016-04-17T00:00:00"/>
    <n v="1"/>
    <x v="170"/>
    <n v="612"/>
    <d v="2016-04-17T00:00:00"/>
  </r>
  <r>
    <x v="13"/>
    <d v="2016-04-18T00:00:00"/>
    <n v="1"/>
    <x v="171"/>
    <n v="312"/>
    <d v="2016-04-18T00:00:00"/>
  </r>
  <r>
    <x v="13"/>
    <d v="2016-04-19T00:00:00"/>
    <n v="1"/>
    <x v="159"/>
    <n v="487"/>
    <d v="2016-04-19T00:00:00"/>
  </r>
  <r>
    <x v="13"/>
    <d v="2016-04-20T00:00:00"/>
    <n v="1"/>
    <x v="172"/>
    <n v="468"/>
    <d v="2016-04-20T00:00:00"/>
  </r>
  <r>
    <x v="13"/>
    <d v="2016-04-21T00:00:00"/>
    <n v="1"/>
    <x v="166"/>
    <n v="434"/>
    <d v="2016-04-21T00:00:00"/>
  </r>
  <r>
    <x v="13"/>
    <d v="2016-04-23T00:00:00"/>
    <n v="1"/>
    <x v="66"/>
    <n v="475"/>
    <d v="2016-04-23T00:00:00"/>
  </r>
  <r>
    <x v="13"/>
    <d v="2016-04-24T00:00:00"/>
    <n v="1"/>
    <x v="173"/>
    <n v="506"/>
    <d v="2016-04-24T00:00:00"/>
  </r>
  <r>
    <x v="13"/>
    <d v="2016-04-25T00:00:00"/>
    <n v="1"/>
    <x v="146"/>
    <n v="380"/>
    <d v="2016-04-25T00:00:00"/>
  </r>
  <r>
    <x v="13"/>
    <d v="2016-04-26T00:00:00"/>
    <n v="1"/>
    <x v="130"/>
    <n v="429"/>
    <d v="2016-04-26T00:00:00"/>
  </r>
  <r>
    <x v="13"/>
    <d v="2016-04-27T00:00:00"/>
    <n v="1"/>
    <x v="174"/>
    <n v="449"/>
    <d v="2016-04-27T00:00:00"/>
  </r>
  <r>
    <x v="13"/>
    <d v="2016-04-28T00:00:00"/>
    <n v="1"/>
    <x v="70"/>
    <n v="461"/>
    <d v="2016-04-28T00:00:00"/>
  </r>
  <r>
    <x v="13"/>
    <d v="2016-04-29T00:00:00"/>
    <n v="1"/>
    <x v="71"/>
    <n v="447"/>
    <d v="2016-04-29T00:00:00"/>
  </r>
  <r>
    <x v="13"/>
    <d v="2016-04-30T00:00:00"/>
    <n v="1"/>
    <x v="175"/>
    <n v="501"/>
    <d v="2016-04-30T00:00:00"/>
  </r>
  <r>
    <x v="13"/>
    <d v="2016-05-03T00:00:00"/>
    <n v="1"/>
    <x v="0"/>
    <n v="373"/>
    <d v="2016-05-03T00:00:00"/>
  </r>
  <r>
    <x v="13"/>
    <d v="2016-05-04T00:00:00"/>
    <n v="1"/>
    <x v="2"/>
    <n v="434"/>
    <d v="2016-05-04T00:00:00"/>
  </r>
  <r>
    <x v="13"/>
    <d v="2016-05-05T00:00:00"/>
    <n v="1"/>
    <x v="176"/>
    <n v="428"/>
    <d v="2016-05-05T00:00:00"/>
  </r>
  <r>
    <x v="13"/>
    <d v="2016-05-06T00:00:00"/>
    <n v="1"/>
    <x v="14"/>
    <n v="449"/>
    <d v="2016-05-06T00:00:00"/>
  </r>
  <r>
    <x v="13"/>
    <d v="2016-05-07T00:00:00"/>
    <n v="1"/>
    <x v="45"/>
    <n v="543"/>
    <d v="2016-05-07T00:00:00"/>
  </r>
  <r>
    <x v="13"/>
    <d v="2016-05-09T00:00:00"/>
    <n v="1"/>
    <x v="177"/>
    <n v="458"/>
    <d v="2016-05-09T00:00:00"/>
  </r>
  <r>
    <x v="13"/>
    <d v="2016-05-10T00:00:00"/>
    <n v="1"/>
    <x v="178"/>
    <n v="431"/>
    <d v="2016-05-10T00:00:00"/>
  </r>
  <r>
    <x v="13"/>
    <d v="2016-05-11T00:00:00"/>
    <n v="1"/>
    <x v="143"/>
    <n v="366"/>
    <d v="2016-05-11T00:00:00"/>
  </r>
  <r>
    <x v="13"/>
    <d v="2016-05-12T00:00:00"/>
    <n v="1"/>
    <x v="14"/>
    <n v="442"/>
    <d v="2016-05-12T00:00:00"/>
  </r>
  <r>
    <x v="14"/>
    <d v="2016-04-12T00:00:00"/>
    <n v="1"/>
    <x v="147"/>
    <n v="464"/>
    <d v="2016-04-12T00:00:00"/>
  </r>
  <r>
    <x v="14"/>
    <d v="2016-04-13T00:00:00"/>
    <n v="2"/>
    <x v="179"/>
    <n v="488"/>
    <d v="2016-04-13T00:00:00"/>
  </r>
  <r>
    <x v="14"/>
    <d v="2016-04-14T00:00:00"/>
    <n v="1"/>
    <x v="58"/>
    <n v="418"/>
    <d v="2016-04-14T00:00:00"/>
  </r>
  <r>
    <x v="14"/>
    <d v="2016-04-15T00:00:00"/>
    <n v="1"/>
    <x v="180"/>
    <n v="409"/>
    <d v="2016-04-15T00:00:00"/>
  </r>
  <r>
    <x v="14"/>
    <d v="2016-04-16T00:00:00"/>
    <n v="2"/>
    <x v="181"/>
    <n v="686"/>
    <d v="2016-04-16T00:00:00"/>
  </r>
  <r>
    <x v="14"/>
    <d v="2016-04-17T00:00:00"/>
    <n v="1"/>
    <x v="182"/>
    <n v="402"/>
    <d v="2016-04-17T00:00:00"/>
  </r>
  <r>
    <x v="14"/>
    <d v="2016-04-18T00:00:00"/>
    <n v="2"/>
    <x v="45"/>
    <n v="541"/>
    <d v="2016-04-18T00:00:00"/>
  </r>
  <r>
    <x v="14"/>
    <d v="2016-04-19T00:00:00"/>
    <n v="1"/>
    <x v="58"/>
    <n v="410"/>
    <d v="2016-04-19T00:00:00"/>
  </r>
  <r>
    <x v="14"/>
    <d v="2016-04-20T00:00:00"/>
    <n v="1"/>
    <x v="183"/>
    <n v="678"/>
    <d v="2016-04-20T00:00:00"/>
  </r>
  <r>
    <x v="14"/>
    <d v="2016-04-21T00:00:00"/>
    <n v="1"/>
    <x v="184"/>
    <n v="431"/>
    <d v="2016-04-21T00:00:00"/>
  </r>
  <r>
    <x v="14"/>
    <d v="2016-04-22T00:00:00"/>
    <n v="1"/>
    <x v="103"/>
    <n v="353"/>
    <d v="2016-04-22T00:00:00"/>
  </r>
  <r>
    <x v="14"/>
    <d v="2016-04-23T00:00:00"/>
    <n v="2"/>
    <x v="185"/>
    <n v="725"/>
    <d v="2016-04-23T00:00:00"/>
  </r>
  <r>
    <x v="14"/>
    <d v="2016-04-24T00:00:00"/>
    <n v="2"/>
    <x v="186"/>
    <n v="640"/>
    <d v="2016-04-24T00:00:00"/>
  </r>
  <r>
    <x v="14"/>
    <d v="2016-04-25T00:00:00"/>
    <n v="1"/>
    <x v="71"/>
    <n v="468"/>
    <d v="2016-04-25T00:00:00"/>
  </r>
  <r>
    <x v="14"/>
    <d v="2016-04-26T00:00:00"/>
    <n v="1"/>
    <x v="2"/>
    <n v="453"/>
    <d v="2016-04-26T00:00:00"/>
  </r>
  <r>
    <x v="14"/>
    <d v="2016-04-27T00:00:00"/>
    <n v="1"/>
    <x v="187"/>
    <n v="391"/>
    <d v="2016-04-27T00:00:00"/>
  </r>
  <r>
    <x v="14"/>
    <d v="2016-04-28T00:00:00"/>
    <n v="1"/>
    <x v="130"/>
    <n v="457"/>
    <d v="2016-04-28T00:00:00"/>
  </r>
  <r>
    <x v="14"/>
    <d v="2016-04-29T00:00:00"/>
    <n v="1"/>
    <x v="119"/>
    <n v="495"/>
    <d v="2016-04-29T00:00:00"/>
  </r>
  <r>
    <x v="14"/>
    <d v="2016-04-30T00:00:00"/>
    <n v="2"/>
    <x v="188"/>
    <n v="843"/>
    <d v="2016-04-30T00:00:00"/>
  </r>
  <r>
    <x v="14"/>
    <d v="2016-05-01T00:00:00"/>
    <n v="2"/>
    <x v="189"/>
    <n v="686"/>
    <d v="2016-05-01T00:00:00"/>
  </r>
  <r>
    <x v="14"/>
    <d v="2016-05-02T00:00:00"/>
    <n v="1"/>
    <x v="136"/>
    <n v="471"/>
    <d v="2016-05-02T00:00:00"/>
  </r>
  <r>
    <x v="14"/>
    <d v="2016-05-03T00:00:00"/>
    <n v="1"/>
    <x v="190"/>
    <n v="429"/>
    <d v="2016-05-03T00:00:00"/>
  </r>
  <r>
    <x v="14"/>
    <d v="2016-05-04T00:00:00"/>
    <n v="1"/>
    <x v="191"/>
    <n v="470"/>
    <d v="2016-05-04T00:00:00"/>
  </r>
  <r>
    <x v="14"/>
    <d v="2016-05-05T00:00:00"/>
    <n v="1"/>
    <x v="154"/>
    <n v="464"/>
    <d v="2016-05-05T00:00:00"/>
  </r>
  <r>
    <x v="14"/>
    <d v="2016-05-06T00:00:00"/>
    <n v="1"/>
    <x v="167"/>
    <n v="434"/>
    <d v="2016-05-06T00:00:00"/>
  </r>
  <r>
    <x v="14"/>
    <d v="2016-05-07T00:00:00"/>
    <n v="1"/>
    <x v="70"/>
    <n v="470"/>
    <d v="2016-05-07T00:00:00"/>
  </r>
  <r>
    <x v="14"/>
    <d v="2016-05-08T00:00:00"/>
    <n v="1"/>
    <x v="192"/>
    <n v="608"/>
    <d v="2016-05-08T00:00:00"/>
  </r>
  <r>
    <x v="14"/>
    <d v="2016-05-09T00:00:00"/>
    <n v="1"/>
    <x v="193"/>
    <n v="494"/>
    <d v="2016-05-09T00:00:00"/>
  </r>
  <r>
    <x v="14"/>
    <d v="2016-05-10T00:00:00"/>
    <n v="1"/>
    <x v="194"/>
    <n v="443"/>
    <d v="2016-05-10T00:00:00"/>
  </r>
  <r>
    <x v="14"/>
    <d v="2016-05-11T00:00:00"/>
    <n v="1"/>
    <x v="195"/>
    <n v="486"/>
    <d v="2016-05-11T00:00:00"/>
  </r>
  <r>
    <x v="14"/>
    <d v="2016-05-12T00:00:00"/>
    <n v="1"/>
    <x v="196"/>
    <n v="475"/>
    <d v="2016-05-12T00:00:00"/>
  </r>
  <r>
    <x v="15"/>
    <d v="2016-04-12T00:00:00"/>
    <n v="1"/>
    <x v="154"/>
    <n v="438"/>
    <d v="2016-04-12T00:00:00"/>
  </r>
  <r>
    <x v="15"/>
    <d v="2016-04-13T00:00:00"/>
    <n v="1"/>
    <x v="174"/>
    <n v="458"/>
    <d v="2016-04-13T00:00:00"/>
  </r>
  <r>
    <x v="15"/>
    <d v="2016-04-14T00:00:00"/>
    <n v="1"/>
    <x v="44"/>
    <n v="497"/>
    <d v="2016-04-14T00:00:00"/>
  </r>
  <r>
    <x v="15"/>
    <d v="2016-04-15T00:00:00"/>
    <n v="1"/>
    <x v="197"/>
    <n v="413"/>
    <d v="2016-04-15T00:00:00"/>
  </r>
  <r>
    <x v="15"/>
    <d v="2016-04-16T00:00:00"/>
    <n v="1"/>
    <x v="198"/>
    <n v="445"/>
    <d v="2016-04-16T00:00:00"/>
  </r>
  <r>
    <x v="15"/>
    <d v="2016-04-17T00:00:00"/>
    <n v="1"/>
    <x v="199"/>
    <n v="583"/>
    <d v="2016-04-17T00:00:00"/>
  </r>
  <r>
    <x v="15"/>
    <d v="2016-04-18T00:00:00"/>
    <n v="1"/>
    <x v="53"/>
    <n v="553"/>
    <d v="2016-04-18T00:00:00"/>
  </r>
  <r>
    <x v="15"/>
    <d v="2016-04-19T00:00:00"/>
    <n v="1"/>
    <x v="200"/>
    <n v="465"/>
    <d v="2016-04-19T00:00:00"/>
  </r>
  <r>
    <x v="15"/>
    <d v="2016-04-20T00:00:00"/>
    <n v="1"/>
    <x v="191"/>
    <n v="480"/>
    <d v="2016-04-20T00:00:00"/>
  </r>
  <r>
    <x v="15"/>
    <d v="2016-04-21T00:00:00"/>
    <n v="1"/>
    <x v="176"/>
    <n v="437"/>
    <d v="2016-04-21T00:00:00"/>
  </r>
  <r>
    <x v="15"/>
    <d v="2016-04-22T00:00:00"/>
    <n v="1"/>
    <x v="21"/>
    <n v="366"/>
    <d v="2016-04-22T00:00:00"/>
  </r>
  <r>
    <x v="15"/>
    <d v="2016-04-23T00:00:00"/>
    <n v="1"/>
    <x v="1"/>
    <n v="402"/>
    <d v="2016-04-23T00:00:00"/>
  </r>
  <r>
    <x v="15"/>
    <d v="2016-04-24T00:00:00"/>
    <n v="1"/>
    <x v="201"/>
    <n v="615"/>
    <d v="2016-04-24T00:00:00"/>
  </r>
  <r>
    <x v="15"/>
    <d v="2016-04-25T00:00:00"/>
    <n v="1"/>
    <x v="130"/>
    <n v="461"/>
    <d v="2016-04-25T00:00:00"/>
  </r>
  <r>
    <x v="15"/>
    <d v="2016-04-26T00:00:00"/>
    <n v="1"/>
    <x v="143"/>
    <n v="377"/>
    <d v="2016-04-26T00:00:00"/>
  </r>
  <r>
    <x v="15"/>
    <d v="2016-04-27T00:00:00"/>
    <n v="1"/>
    <x v="79"/>
    <n v="452"/>
    <d v="2016-04-27T00:00:00"/>
  </r>
  <r>
    <x v="15"/>
    <d v="2016-04-28T00:00:00"/>
    <n v="1"/>
    <x v="8"/>
    <n v="372"/>
    <d v="2016-04-28T00:00:00"/>
  </r>
  <r>
    <x v="15"/>
    <d v="2016-04-29T00:00:00"/>
    <n v="1"/>
    <x v="202"/>
    <n v="485"/>
    <d v="2016-04-29T00:00:00"/>
  </r>
  <r>
    <x v="15"/>
    <d v="2016-04-30T00:00:00"/>
    <n v="1"/>
    <x v="2"/>
    <n v="433"/>
    <d v="2016-04-30T00:00:00"/>
  </r>
  <r>
    <x v="15"/>
    <d v="2016-05-01T00:00:00"/>
    <n v="1"/>
    <x v="203"/>
    <n v="398"/>
    <d v="2016-05-01T00:00:00"/>
  </r>
  <r>
    <x v="15"/>
    <d v="2016-05-02T00:00:00"/>
    <n v="2"/>
    <x v="204"/>
    <n v="553"/>
    <d v="2016-05-02T00:00:00"/>
  </r>
  <r>
    <x v="15"/>
    <d v="2016-05-03T00:00:00"/>
    <n v="1"/>
    <x v="49"/>
    <n v="543"/>
    <d v="2016-05-03T00:00:00"/>
  </r>
  <r>
    <x v="15"/>
    <d v="2016-05-04T00:00:00"/>
    <n v="1"/>
    <x v="205"/>
    <n v="634"/>
    <d v="2016-05-04T00:00:00"/>
  </r>
  <r>
    <x v="15"/>
    <d v="2016-05-05T00:00:00"/>
    <n v="1"/>
    <x v="206"/>
    <n v="78"/>
    <d v="2016-05-05T00:00:00"/>
  </r>
  <r>
    <x v="15"/>
    <d v="2016-05-10T00:00:00"/>
    <n v="1"/>
    <x v="207"/>
    <n v="562"/>
    <d v="2016-05-10T00:00:00"/>
  </r>
  <r>
    <x v="15"/>
    <d v="2016-05-11T00:00:00"/>
    <n v="1"/>
    <x v="208"/>
    <n v="476"/>
    <d v="2016-05-11T00:00:00"/>
  </r>
  <r>
    <x v="16"/>
    <d v="2016-04-16T00:00:00"/>
    <n v="1"/>
    <x v="190"/>
    <n v="398"/>
    <d v="2016-04-16T00:00:00"/>
  </r>
  <r>
    <x v="16"/>
    <d v="2016-04-17T00:00:00"/>
    <n v="2"/>
    <x v="209"/>
    <n v="350"/>
    <d v="2016-04-17T00:00:00"/>
  </r>
  <r>
    <x v="16"/>
    <d v="2016-04-18T00:00:00"/>
    <n v="2"/>
    <x v="210"/>
    <n v="510"/>
    <d v="2016-04-18T00:00:00"/>
  </r>
  <r>
    <x v="16"/>
    <d v="2016-04-19T00:00:00"/>
    <n v="1"/>
    <x v="66"/>
    <n v="492"/>
    <d v="2016-04-19T00:00:00"/>
  </r>
  <r>
    <x v="16"/>
    <d v="2016-04-20T00:00:00"/>
    <n v="1"/>
    <x v="118"/>
    <n v="502"/>
    <d v="2016-04-20T00:00:00"/>
  </r>
  <r>
    <x v="16"/>
    <d v="2016-04-21T00:00:00"/>
    <n v="1"/>
    <x v="49"/>
    <n v="550"/>
    <d v="2016-04-21T00:00:00"/>
  </r>
  <r>
    <x v="16"/>
    <d v="2016-04-22T00:00:00"/>
    <n v="1"/>
    <x v="173"/>
    <n v="546"/>
    <d v="2016-04-22T00:00:00"/>
  </r>
  <r>
    <x v="16"/>
    <d v="2016-04-23T00:00:00"/>
    <n v="1"/>
    <x v="211"/>
    <n v="539"/>
    <d v="2016-04-23T00:00:00"/>
  </r>
  <r>
    <x v="16"/>
    <d v="2016-04-24T00:00:00"/>
    <n v="1"/>
    <x v="153"/>
    <n v="367"/>
    <d v="2016-04-24T00:00:00"/>
  </r>
  <r>
    <x v="16"/>
    <d v="2016-04-27T00:00:00"/>
    <n v="1"/>
    <x v="212"/>
    <n v="557"/>
    <d v="2016-04-27T00:00:00"/>
  </r>
  <r>
    <x v="16"/>
    <d v="2016-04-28T00:00:00"/>
    <n v="1"/>
    <x v="213"/>
    <n v="416"/>
    <d v="2016-04-28T00:00:00"/>
  </r>
  <r>
    <x v="16"/>
    <d v="2016-04-29T00:00:00"/>
    <n v="1"/>
    <x v="214"/>
    <n v="636"/>
    <d v="2016-04-29T00:00:00"/>
  </r>
  <r>
    <x v="16"/>
    <d v="2016-05-01T00:00:00"/>
    <n v="1"/>
    <x v="120"/>
    <n v="575"/>
    <d v="2016-05-01T00:00:00"/>
  </r>
  <r>
    <x v="16"/>
    <d v="2016-05-05T00:00:00"/>
    <n v="1"/>
    <x v="197"/>
    <n v="415"/>
    <d v="2016-05-05T00:00:00"/>
  </r>
  <r>
    <x v="16"/>
    <d v="2016-05-06T00:00:00"/>
    <n v="2"/>
    <x v="183"/>
    <n v="698"/>
    <d v="2016-05-06T00:00:00"/>
  </r>
  <r>
    <x v="16"/>
    <d v="2016-05-07T00:00:00"/>
    <n v="2"/>
    <x v="42"/>
    <n v="507"/>
    <d v="2016-05-07T00:00:00"/>
  </r>
  <r>
    <x v="16"/>
    <d v="2016-05-08T00:00:00"/>
    <n v="1"/>
    <x v="47"/>
    <n v="603"/>
    <d v="2016-05-08T00:00:00"/>
  </r>
  <r>
    <x v="16"/>
    <d v="2016-05-09T00:00:00"/>
    <n v="1"/>
    <x v="211"/>
    <n v="522"/>
    <d v="2016-05-09T00:00:00"/>
  </r>
  <r>
    <x v="17"/>
    <d v="2016-04-13T00:00:00"/>
    <n v="1"/>
    <x v="86"/>
    <n v="260"/>
    <d v="2016-04-13T00:00:00"/>
  </r>
  <r>
    <x v="17"/>
    <d v="2016-04-14T00:00:00"/>
    <n v="1"/>
    <x v="215"/>
    <n v="441"/>
    <d v="2016-04-14T00:00:00"/>
  </r>
  <r>
    <x v="17"/>
    <d v="2016-04-15T00:00:00"/>
    <n v="1"/>
    <x v="216"/>
    <n v="406"/>
    <d v="2016-04-15T00:00:00"/>
  </r>
  <r>
    <x v="18"/>
    <d v="2016-04-12T00:00:00"/>
    <n v="1"/>
    <x v="12"/>
    <n v="387"/>
    <d v="2016-04-12T00:00:00"/>
  </r>
  <r>
    <x v="18"/>
    <d v="2016-04-13T00:00:00"/>
    <n v="3"/>
    <x v="217"/>
    <n v="679"/>
    <d v="2016-04-13T00:00:00"/>
  </r>
  <r>
    <x v="18"/>
    <d v="2016-04-14T00:00:00"/>
    <n v="2"/>
    <x v="49"/>
    <n v="535"/>
    <d v="2016-04-14T00:00:00"/>
  </r>
  <r>
    <x v="18"/>
    <d v="2016-04-15T00:00:00"/>
    <n v="1"/>
    <x v="146"/>
    <n v="386"/>
    <d v="2016-04-15T00:00:00"/>
  </r>
  <r>
    <x v="18"/>
    <d v="2016-04-16T00:00:00"/>
    <n v="1"/>
    <x v="58"/>
    <n v="366"/>
    <d v="2016-04-16T00:00:00"/>
  </r>
  <r>
    <x v="18"/>
    <d v="2016-04-17T00:00:00"/>
    <n v="1"/>
    <x v="218"/>
    <n v="446"/>
    <d v="2016-04-17T00:00:00"/>
  </r>
  <r>
    <x v="18"/>
    <d v="2016-04-18T00:00:00"/>
    <n v="1"/>
    <x v="70"/>
    <n v="458"/>
    <d v="2016-04-18T00:00:00"/>
  </r>
  <r>
    <x v="18"/>
    <d v="2016-04-19T00:00:00"/>
    <n v="1"/>
    <x v="219"/>
    <n v="535"/>
    <d v="2016-04-19T00:00:00"/>
  </r>
  <r>
    <x v="18"/>
    <d v="2016-04-20T00:00:00"/>
    <n v="1"/>
    <x v="194"/>
    <n v="424"/>
    <d v="2016-04-20T00:00:00"/>
  </r>
  <r>
    <x v="18"/>
    <d v="2016-04-21T00:00:00"/>
    <n v="1"/>
    <x v="220"/>
    <n v="457"/>
    <d v="2016-04-21T00:00:00"/>
  </r>
  <r>
    <x v="18"/>
    <d v="2016-04-22T00:00:00"/>
    <n v="1"/>
    <x v="166"/>
    <n v="435"/>
    <d v="2016-04-22T00:00:00"/>
  </r>
  <r>
    <x v="18"/>
    <d v="2016-04-23T00:00:00"/>
    <n v="1"/>
    <x v="221"/>
    <n v="546"/>
    <d v="2016-04-23T00:00:00"/>
  </r>
  <r>
    <x v="18"/>
    <d v="2016-04-24T00:00:00"/>
    <n v="1"/>
    <x v="54"/>
    <n v="514"/>
    <d v="2016-04-24T00:00:00"/>
  </r>
  <r>
    <x v="18"/>
    <d v="2016-04-25T00:00:00"/>
    <n v="1"/>
    <x v="167"/>
    <n v="415"/>
    <d v="2016-04-25T00:00:00"/>
  </r>
  <r>
    <x v="18"/>
    <d v="2016-04-26T00:00:00"/>
    <n v="1"/>
    <x v="147"/>
    <n v="446"/>
    <d v="2016-04-26T00:00:00"/>
  </r>
  <r>
    <x v="18"/>
    <d v="2016-04-27T00:00:00"/>
    <n v="1"/>
    <x v="179"/>
    <n v="467"/>
    <d v="2016-04-27T00:00:00"/>
  </r>
  <r>
    <x v="18"/>
    <d v="2016-04-28T00:00:00"/>
    <n v="1"/>
    <x v="222"/>
    <n v="453"/>
    <d v="2016-04-28T00:00:00"/>
  </r>
  <r>
    <x v="18"/>
    <d v="2016-04-29T00:00:00"/>
    <n v="1"/>
    <x v="71"/>
    <n v="447"/>
    <d v="2016-04-29T00:00:00"/>
  </r>
  <r>
    <x v="18"/>
    <d v="2016-04-30T00:00:00"/>
    <n v="1"/>
    <x v="223"/>
    <n v="424"/>
    <d v="2016-04-30T00:00:00"/>
  </r>
  <r>
    <x v="18"/>
    <d v="2016-05-01T00:00:00"/>
    <n v="1"/>
    <x v="75"/>
    <n v="426"/>
    <d v="2016-05-01T00:00:00"/>
  </r>
  <r>
    <x v="18"/>
    <d v="2016-05-02T00:00:00"/>
    <n v="1"/>
    <x v="224"/>
    <n v="482"/>
    <d v="2016-05-02T00:00:00"/>
  </r>
  <r>
    <x v="18"/>
    <d v="2016-05-03T00:00:00"/>
    <n v="1"/>
    <x v="225"/>
    <n v="418"/>
    <d v="2016-05-03T00:00:00"/>
  </r>
  <r>
    <x v="18"/>
    <d v="2016-05-04T00:00:00"/>
    <n v="1"/>
    <x v="70"/>
    <n v="455"/>
    <d v="2016-05-04T00:00:00"/>
  </r>
  <r>
    <x v="18"/>
    <d v="2016-05-05T00:00:00"/>
    <n v="1"/>
    <x v="61"/>
    <n v="491"/>
    <d v="2016-05-05T00:00:00"/>
  </r>
  <r>
    <x v="18"/>
    <d v="2016-05-06T00:00:00"/>
    <n v="1"/>
    <x v="226"/>
    <n v="462"/>
    <d v="2016-05-06T00:00:00"/>
  </r>
  <r>
    <x v="18"/>
    <d v="2016-05-07T00:00:00"/>
    <n v="1"/>
    <x v="227"/>
    <n v="334"/>
    <d v="2016-05-07T00:00:00"/>
  </r>
  <r>
    <x v="18"/>
    <d v="2016-05-08T00:00:00"/>
    <n v="1"/>
    <x v="57"/>
    <n v="569"/>
    <d v="2016-05-08T00:00:00"/>
  </r>
  <r>
    <x v="18"/>
    <d v="2016-05-09T00:00:00"/>
    <n v="1"/>
    <x v="228"/>
    <n v="497"/>
    <d v="2016-05-09T00:00:00"/>
  </r>
  <r>
    <x v="18"/>
    <d v="2016-05-10T00:00:00"/>
    <n v="1"/>
    <x v="144"/>
    <n v="481"/>
    <d v="2016-05-10T00:00:00"/>
  </r>
  <r>
    <x v="18"/>
    <d v="2016-05-11T00:00:00"/>
    <n v="1"/>
    <x v="63"/>
    <n v="480"/>
    <d v="2016-05-11T00:00:00"/>
  </r>
  <r>
    <x v="18"/>
    <d v="2016-05-12T00:00:00"/>
    <n v="1"/>
    <x v="229"/>
    <n v="535"/>
    <d v="2016-05-12T00:00:00"/>
  </r>
  <r>
    <x v="19"/>
    <d v="2016-04-16T00:00:00"/>
    <n v="1"/>
    <x v="230"/>
    <n v="82"/>
    <d v="2016-04-16T00:00:00"/>
  </r>
  <r>
    <x v="19"/>
    <d v="2016-05-01T00:00:00"/>
    <n v="1"/>
    <x v="231"/>
    <n v="61"/>
    <d v="2016-05-01T00:00:00"/>
  </r>
  <r>
    <x v="20"/>
    <d v="2016-04-12T00:00:00"/>
    <n v="1"/>
    <x v="232"/>
    <n v="525"/>
    <d v="2016-04-12T00:00:00"/>
  </r>
  <r>
    <x v="20"/>
    <d v="2016-04-13T00:00:00"/>
    <n v="1"/>
    <x v="220"/>
    <n v="465"/>
    <d v="2016-04-13T00:00:00"/>
  </r>
  <r>
    <x v="20"/>
    <d v="2016-04-14T00:00:00"/>
    <n v="1"/>
    <x v="141"/>
    <n v="476"/>
    <d v="2016-04-14T00:00:00"/>
  </r>
  <r>
    <x v="20"/>
    <d v="2016-04-15T00:00:00"/>
    <n v="1"/>
    <x v="180"/>
    <n v="386"/>
    <d v="2016-04-15T00:00:00"/>
  </r>
  <r>
    <x v="20"/>
    <d v="2016-04-19T00:00:00"/>
    <n v="1"/>
    <x v="141"/>
    <n v="483"/>
    <d v="2016-04-19T00:00:00"/>
  </r>
  <r>
    <x v="20"/>
    <d v="2016-04-20T00:00:00"/>
    <n v="1"/>
    <x v="211"/>
    <n v="502"/>
    <d v="2016-04-20T00:00:00"/>
  </r>
  <r>
    <x v="20"/>
    <d v="2016-04-21T00:00:00"/>
    <n v="1"/>
    <x v="139"/>
    <n v="411"/>
    <d v="2016-04-21T00:00:00"/>
  </r>
  <r>
    <x v="20"/>
    <d v="2016-04-22T00:00:00"/>
    <n v="1"/>
    <x v="135"/>
    <n v="448"/>
    <d v="2016-04-22T00:00:00"/>
  </r>
  <r>
    <x v="20"/>
    <d v="2016-04-24T00:00:00"/>
    <n v="1"/>
    <x v="233"/>
    <n v="704"/>
    <d v="2016-04-24T00:00:00"/>
  </r>
  <r>
    <x v="20"/>
    <d v="2016-04-25T00:00:00"/>
    <n v="1"/>
    <x v="234"/>
    <n v="447"/>
    <d v="2016-04-25T00:00:00"/>
  </r>
  <r>
    <x v="20"/>
    <d v="2016-04-26T00:00:00"/>
    <n v="1"/>
    <x v="235"/>
    <n v="500"/>
    <d v="2016-04-26T00:00:00"/>
  </r>
  <r>
    <x v="20"/>
    <d v="2016-04-27T00:00:00"/>
    <n v="1"/>
    <x v="144"/>
    <n v="479"/>
    <d v="2016-04-27T00:00:00"/>
  </r>
  <r>
    <x v="20"/>
    <d v="2016-04-28T00:00:00"/>
    <n v="1"/>
    <x v="143"/>
    <n v="367"/>
    <d v="2016-04-28T00:00:00"/>
  </r>
  <r>
    <x v="20"/>
    <d v="2016-04-30T00:00:00"/>
    <n v="1"/>
    <x v="235"/>
    <n v="489"/>
    <d v="2016-04-30T00:00:00"/>
  </r>
  <r>
    <x v="20"/>
    <d v="2016-05-01T00:00:00"/>
    <n v="1"/>
    <x v="151"/>
    <n v="407"/>
    <d v="2016-05-01T00:00:00"/>
  </r>
  <r>
    <x v="20"/>
    <d v="2016-05-02T00:00:00"/>
    <n v="1"/>
    <x v="222"/>
    <n v="459"/>
    <d v="2016-05-02T00:00:00"/>
  </r>
  <r>
    <x v="20"/>
    <d v="2016-05-03T00:00:00"/>
    <n v="1"/>
    <x v="59"/>
    <n v="461"/>
    <d v="2016-05-03T00:00:00"/>
  </r>
  <r>
    <x v="20"/>
    <d v="2016-05-04T00:00:00"/>
    <n v="1"/>
    <x v="236"/>
    <n v="436"/>
    <d v="2016-05-04T00:00:00"/>
  </r>
  <r>
    <x v="20"/>
    <d v="2016-05-06T00:00:00"/>
    <n v="1"/>
    <x v="103"/>
    <n v="333"/>
    <d v="2016-05-06T00:00:00"/>
  </r>
  <r>
    <x v="20"/>
    <d v="2016-05-07T00:00:00"/>
    <n v="1"/>
    <x v="237"/>
    <n v="548"/>
    <d v="2016-05-07T00:00:00"/>
  </r>
  <r>
    <x v="20"/>
    <d v="2016-05-08T00:00:00"/>
    <n v="1"/>
    <x v="238"/>
    <n v="510"/>
    <d v="2016-05-08T00:00:00"/>
  </r>
  <r>
    <x v="20"/>
    <d v="2016-05-09T00:00:00"/>
    <n v="1"/>
    <x v="218"/>
    <n v="438"/>
    <d v="2016-05-09T00:00:00"/>
  </r>
  <r>
    <x v="20"/>
    <d v="2016-05-11T00:00:00"/>
    <n v="1"/>
    <x v="220"/>
    <n v="463"/>
    <d v="2016-05-11T00:00:00"/>
  </r>
  <r>
    <x v="20"/>
    <d v="2016-05-12T00:00:00"/>
    <n v="1"/>
    <x v="239"/>
    <n v="457"/>
    <d v="2016-05-12T00:00:00"/>
  </r>
  <r>
    <x v="21"/>
    <d v="2016-04-20T00:00:00"/>
    <n v="1"/>
    <x v="240"/>
    <n v="493"/>
    <d v="2016-04-20T00:00:00"/>
  </r>
  <r>
    <x v="21"/>
    <d v="2016-04-23T00:00:00"/>
    <n v="1"/>
    <x v="19"/>
    <n v="337"/>
    <d v="2016-04-23T00:00:00"/>
  </r>
  <r>
    <x v="21"/>
    <d v="2016-05-07T00:00:00"/>
    <n v="1"/>
    <x v="206"/>
    <n v="75"/>
    <d v="2016-05-07T00:00:00"/>
  </r>
  <r>
    <x v="22"/>
    <d v="2016-04-12T00:00:00"/>
    <n v="1"/>
    <x v="21"/>
    <n v="356"/>
    <d v="2016-04-12T00:00:00"/>
  </r>
  <r>
    <x v="22"/>
    <d v="2016-04-13T00:00:00"/>
    <n v="2"/>
    <x v="191"/>
    <n v="487"/>
    <d v="2016-04-13T00:00:00"/>
  </r>
  <r>
    <x v="22"/>
    <d v="2016-04-14T00:00:00"/>
    <n v="1"/>
    <x v="79"/>
    <n v="455"/>
    <d v="2016-04-14T00:00:00"/>
  </r>
  <r>
    <x v="22"/>
    <d v="2016-04-15T00:00:00"/>
    <n v="1"/>
    <x v="50"/>
    <n v="533"/>
    <d v="2016-04-15T00:00:00"/>
  </r>
  <r>
    <x v="22"/>
    <d v="2016-04-16T00:00:00"/>
    <n v="2"/>
    <x v="241"/>
    <n v="689"/>
    <d v="2016-04-16T00:00:00"/>
  </r>
  <r>
    <x v="22"/>
    <d v="2016-04-17T00:00:00"/>
    <n v="2"/>
    <x v="204"/>
    <n v="591"/>
    <d v="2016-04-17T00:00:00"/>
  </r>
  <r>
    <x v="22"/>
    <d v="2016-04-18T00:00:00"/>
    <n v="1"/>
    <x v="32"/>
    <n v="451"/>
    <d v="2016-04-18T00:00:00"/>
  </r>
  <r>
    <x v="22"/>
    <d v="2016-04-19T00:00:00"/>
    <n v="1"/>
    <x v="242"/>
    <n v="421"/>
    <d v="2016-04-19T00:00:00"/>
  </r>
  <r>
    <x v="22"/>
    <d v="2016-04-20T00:00:00"/>
    <n v="1"/>
    <x v="81"/>
    <n v="409"/>
    <d v="2016-04-20T00:00:00"/>
  </r>
  <r>
    <x v="22"/>
    <d v="2016-04-21T00:00:00"/>
    <n v="1"/>
    <x v="243"/>
    <n v="417"/>
    <d v="2016-04-21T00:00:00"/>
  </r>
  <r>
    <x v="22"/>
    <d v="2016-04-22T00:00:00"/>
    <n v="1"/>
    <x v="147"/>
    <n v="469"/>
    <d v="2016-04-22T00:00:00"/>
  </r>
  <r>
    <x v="22"/>
    <d v="2016-04-23T00:00:00"/>
    <n v="1"/>
    <x v="244"/>
    <n v="591"/>
    <d v="2016-04-23T00:00:00"/>
  </r>
  <r>
    <x v="22"/>
    <d v="2016-04-24T00:00:00"/>
    <n v="1"/>
    <x v="245"/>
    <n v="492"/>
    <d v="2016-04-24T00:00:00"/>
  </r>
  <r>
    <x v="22"/>
    <d v="2016-04-25T00:00:00"/>
    <n v="1"/>
    <x v="151"/>
    <n v="402"/>
    <d v="2016-04-25T00:00:00"/>
  </r>
  <r>
    <x v="22"/>
    <d v="2016-04-26T00:00:00"/>
    <n v="1"/>
    <x v="246"/>
    <n v="584"/>
    <d v="2016-04-26T00:00:00"/>
  </r>
  <r>
    <x v="22"/>
    <d v="2016-04-27T00:00:00"/>
    <n v="1"/>
    <x v="37"/>
    <n v="600"/>
    <d v="2016-04-27T00:00:00"/>
  </r>
  <r>
    <x v="22"/>
    <d v="2016-04-28T00:00:00"/>
    <n v="1"/>
    <x v="48"/>
    <n v="556"/>
    <d v="2016-04-28T00:00:00"/>
  </r>
  <r>
    <x v="22"/>
    <d v="2016-04-29T00:00:00"/>
    <n v="1"/>
    <x v="53"/>
    <n v="562"/>
    <d v="2016-04-29T00:00:00"/>
  </r>
  <r>
    <x v="22"/>
    <d v="2016-04-30T00:00:00"/>
    <n v="1"/>
    <x v="56"/>
    <n v="555"/>
    <d v="2016-04-30T00:00:00"/>
  </r>
  <r>
    <x v="22"/>
    <d v="2016-05-01T00:00:00"/>
    <n v="1"/>
    <x v="33"/>
    <n v="539"/>
    <d v="2016-05-01T00:00:00"/>
  </r>
  <r>
    <x v="22"/>
    <d v="2016-05-02T00:00:00"/>
    <n v="1"/>
    <x v="247"/>
    <n v="385"/>
    <d v="2016-05-02T00:00:00"/>
  </r>
  <r>
    <x v="22"/>
    <d v="2016-05-03T00:00:00"/>
    <n v="1"/>
    <x v="68"/>
    <n v="429"/>
    <d v="2016-05-03T00:00:00"/>
  </r>
  <r>
    <x v="22"/>
    <d v="2016-05-04T00:00:00"/>
    <n v="1"/>
    <x v="147"/>
    <n v="477"/>
    <d v="2016-05-04T00:00:00"/>
  </r>
  <r>
    <x v="22"/>
    <d v="2016-05-05T00:00:00"/>
    <n v="1"/>
    <x v="81"/>
    <n v="417"/>
    <d v="2016-05-05T00:00:00"/>
  </r>
  <r>
    <x v="22"/>
    <d v="2016-05-06T00:00:00"/>
    <n v="1"/>
    <x v="98"/>
    <n v="355"/>
    <d v="2016-05-06T00:00:00"/>
  </r>
  <r>
    <x v="22"/>
    <d v="2016-05-07T00:00:00"/>
    <n v="2"/>
    <x v="202"/>
    <n v="513"/>
    <d v="2016-05-07T00:00:00"/>
  </r>
  <r>
    <x v="22"/>
    <d v="2016-05-08T00:00:00"/>
    <n v="1"/>
    <x v="38"/>
    <n v="606"/>
    <d v="2016-05-08T00:00:00"/>
  </r>
  <r>
    <x v="22"/>
    <d v="2016-05-09T00:00:00"/>
    <n v="1"/>
    <x v="248"/>
    <n v="399"/>
    <d v="2016-05-09T00:00:00"/>
  </r>
  <r>
    <x v="22"/>
    <d v="2016-05-10T00:00:00"/>
    <n v="1"/>
    <x v="249"/>
    <n v="391"/>
    <d v="2016-05-10T00:00:00"/>
  </r>
  <r>
    <x v="22"/>
    <d v="2016-05-11T00:00:00"/>
    <n v="1"/>
    <x v="138"/>
    <n v="387"/>
    <d v="2016-05-11T00:00:00"/>
  </r>
  <r>
    <x v="22"/>
    <d v="2016-05-12T00:00:00"/>
    <n v="1"/>
    <x v="250"/>
    <n v="546"/>
    <d v="2016-05-12T00:00:00"/>
  </r>
  <r>
    <x v="23"/>
    <d v="2016-04-12T00:00:00"/>
    <n v="1"/>
    <x v="245"/>
    <n v="493"/>
    <d v="2016-04-12T00:00:00"/>
  </r>
  <r>
    <x v="23"/>
    <d v="2016-04-13T00:00:00"/>
    <n v="1"/>
    <x v="37"/>
    <n v="552"/>
    <d v="2016-04-13T00:00:00"/>
  </r>
  <r>
    <x v="23"/>
    <d v="2016-04-14T00:00:00"/>
    <n v="1"/>
    <x v="240"/>
    <n v="503"/>
    <d v="2016-04-14T00:00:00"/>
  </r>
  <r>
    <x v="23"/>
    <d v="2016-04-15T00:00:00"/>
    <n v="1"/>
    <x v="251"/>
    <n v="377"/>
    <d v="2016-04-15T00:00:00"/>
  </r>
  <r>
    <x v="23"/>
    <d v="2016-04-20T00:00:00"/>
    <n v="1"/>
    <x v="221"/>
    <n v="547"/>
    <d v="2016-04-20T00:00:00"/>
  </r>
  <r>
    <x v="23"/>
    <d v="2016-04-22T00:00:00"/>
    <n v="1"/>
    <x v="216"/>
    <n v="407"/>
    <d v="2016-04-22T00:00:00"/>
  </r>
  <r>
    <x v="23"/>
    <d v="2016-04-23T00:00:00"/>
    <n v="1"/>
    <x v="252"/>
    <n v="360"/>
    <d v="2016-04-23T00:00:00"/>
  </r>
  <r>
    <x v="23"/>
    <d v="2016-04-27T00:00:00"/>
    <n v="1"/>
    <x v="215"/>
    <n v="428"/>
    <d v="2016-04-27T00:00:00"/>
  </r>
  <r>
    <x v="23"/>
    <d v="2016-04-28T00:00:00"/>
    <n v="1"/>
    <x v="253"/>
    <n v="416"/>
    <d v="2016-04-28T00:00:00"/>
  </r>
  <r>
    <x v="23"/>
    <d v="2016-04-29T00:00:00"/>
    <n v="1"/>
    <x v="32"/>
    <n v="406"/>
    <d v="2016-04-29T00:00:00"/>
  </r>
  <r>
    <x v="23"/>
    <d v="2016-04-30T00:00:00"/>
    <n v="1"/>
    <x v="254"/>
    <n v="360"/>
    <d v="2016-04-30T00:00:00"/>
  </r>
  <r>
    <x v="23"/>
    <d v="2016-05-01T00:00:00"/>
    <n v="1"/>
    <x v="36"/>
    <n v="527"/>
    <d v="2016-05-01T00:00:00"/>
  </r>
  <r>
    <x v="23"/>
    <d v="2016-05-02T00:00:00"/>
    <n v="1"/>
    <x v="255"/>
    <n v="423"/>
    <d v="2016-05-02T00:00:00"/>
  </r>
  <r>
    <x v="23"/>
    <d v="2016-05-03T00:00:00"/>
    <n v="1"/>
    <x v="229"/>
    <n v="545"/>
    <d v="2016-05-03T00:00:00"/>
  </r>
  <r>
    <x v="23"/>
    <d v="2016-05-04T00:00:00"/>
    <n v="1"/>
    <x v="134"/>
    <n v="463"/>
    <d v="2016-05-04T00:00:00"/>
  </r>
  <r>
    <x v="24"/>
    <m/>
    <m/>
    <x v="256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58">
  <r>
    <x v="0"/>
    <x v="0"/>
    <n v="5543"/>
    <n v="3.9700000289999999"/>
    <n v="3.9700000289999999"/>
    <n v="0"/>
    <n v="0"/>
    <n v="0"/>
    <n v="3.960000038"/>
    <n v="0.01"/>
    <n v="0"/>
    <n v="0"/>
    <n v="254"/>
    <n v="757"/>
    <x v="0"/>
    <s v="Lightly Active"/>
    <m/>
    <m/>
    <m/>
    <m/>
    <x v="0"/>
  </r>
  <r>
    <x v="1"/>
    <x v="0"/>
    <n v="0"/>
    <n v="0"/>
    <n v="0"/>
    <n v="0"/>
    <n v="0"/>
    <n v="0"/>
    <n v="0"/>
    <n v="0"/>
    <n v="0"/>
    <n v="0"/>
    <n v="0"/>
    <n v="1440"/>
    <x v="1"/>
    <s v="Sedentary"/>
    <m/>
    <m/>
    <m/>
    <m/>
    <x v="0"/>
  </r>
  <r>
    <x v="0"/>
    <x v="1"/>
    <n v="3226"/>
    <n v="2.3099999430000002"/>
    <n v="2.3099999430000002"/>
    <n v="0"/>
    <n v="0"/>
    <n v="0"/>
    <n v="2.2799999710000001"/>
    <n v="0"/>
    <n v="0"/>
    <n v="0"/>
    <n v="136"/>
    <n v="771"/>
    <x v="2"/>
    <s v="Sedentary"/>
    <m/>
    <m/>
    <m/>
    <m/>
    <x v="1"/>
  </r>
  <r>
    <x v="1"/>
    <x v="1"/>
    <n v="0"/>
    <n v="0"/>
    <n v="0"/>
    <n v="0"/>
    <n v="0"/>
    <n v="0"/>
    <n v="0"/>
    <n v="0"/>
    <n v="0"/>
    <n v="0"/>
    <n v="0"/>
    <n v="1440"/>
    <x v="1"/>
    <s v="Sedentary"/>
    <m/>
    <m/>
    <m/>
    <m/>
    <x v="1"/>
  </r>
  <r>
    <x v="0"/>
    <x v="2"/>
    <n v="3023"/>
    <n v="2.170000076"/>
    <n v="2.170000076"/>
    <n v="0"/>
    <n v="0"/>
    <n v="0"/>
    <n v="2.1400001049999999"/>
    <n v="0"/>
    <n v="0"/>
    <n v="0"/>
    <n v="145"/>
    <n v="1005"/>
    <x v="3"/>
    <s v="Sedentary"/>
    <m/>
    <m/>
    <m/>
    <m/>
    <x v="2"/>
  </r>
  <r>
    <x v="1"/>
    <x v="2"/>
    <n v="8433"/>
    <n v="6.2300000190000002"/>
    <n v="6.2300000190000002"/>
    <n v="0"/>
    <n v="2.4500000480000002"/>
    <n v="0.33000001299999998"/>
    <n v="3.4400000569999998"/>
    <n v="0"/>
    <n v="30"/>
    <n v="7"/>
    <n v="135"/>
    <n v="1268"/>
    <x v="4"/>
    <s v="Moderately Active"/>
    <m/>
    <m/>
    <m/>
    <m/>
    <x v="2"/>
  </r>
  <r>
    <x v="0"/>
    <x v="3"/>
    <n v="5906"/>
    <n v="4.2300000190000002"/>
    <n v="4.2300000190000002"/>
    <n v="0"/>
    <n v="0"/>
    <n v="0.15999999600000001"/>
    <n v="4.0399999619999996"/>
    <n v="0"/>
    <n v="0"/>
    <n v="10"/>
    <n v="215"/>
    <n v="874"/>
    <x v="5"/>
    <s v="Lightly Active"/>
    <m/>
    <m/>
    <m/>
    <m/>
    <x v="3"/>
  </r>
  <r>
    <x v="1"/>
    <x v="3"/>
    <n v="0"/>
    <n v="0"/>
    <n v="0"/>
    <n v="0"/>
    <n v="0"/>
    <n v="0"/>
    <n v="0"/>
    <n v="0"/>
    <n v="0"/>
    <n v="0"/>
    <n v="0"/>
    <n v="1440"/>
    <x v="6"/>
    <s v="Sedentary"/>
    <m/>
    <m/>
    <m/>
    <m/>
    <x v="3"/>
  </r>
  <r>
    <x v="0"/>
    <x v="4"/>
    <n v="12483"/>
    <n v="8.9899997710000008"/>
    <n v="8.9899997710000008"/>
    <n v="0"/>
    <n v="1.4500000479999999"/>
    <n v="0.56999999300000004"/>
    <n v="6.9000000950000002"/>
    <n v="0"/>
    <n v="25"/>
    <n v="14"/>
    <n v="309"/>
    <n v="599"/>
    <x v="7"/>
    <s v="Active"/>
    <m/>
    <m/>
    <m/>
    <m/>
    <x v="4"/>
  </r>
  <r>
    <x v="1"/>
    <x v="4"/>
    <n v="2139"/>
    <n v="1.559999943"/>
    <n v="1.559999943"/>
    <n v="0"/>
    <n v="0"/>
    <n v="1.2999999520000001"/>
    <n v="0.25999999000000001"/>
    <n v="0"/>
    <n v="0"/>
    <n v="28"/>
    <n v="15"/>
    <n v="1397"/>
    <x v="8"/>
    <s v="Sedentary"/>
    <m/>
    <m/>
    <m/>
    <m/>
    <x v="4"/>
  </r>
  <r>
    <x v="0"/>
    <x v="5"/>
    <n v="8940"/>
    <n v="6.4099998469999999"/>
    <n v="6.4099998469999999"/>
    <n v="0"/>
    <n v="0"/>
    <n v="0"/>
    <n v="0.61000001400000003"/>
    <n v="3.9999999000000001E-2"/>
    <n v="0"/>
    <n v="0"/>
    <n v="47"/>
    <n v="986"/>
    <x v="9"/>
    <s v="Moderately Active"/>
    <m/>
    <m/>
    <m/>
    <m/>
    <x v="5"/>
  </r>
  <r>
    <x v="1"/>
    <x v="5"/>
    <n v="0"/>
    <n v="0"/>
    <n v="0"/>
    <n v="0"/>
    <n v="0"/>
    <n v="0"/>
    <n v="0"/>
    <n v="0"/>
    <n v="0"/>
    <n v="0"/>
    <n v="0"/>
    <n v="1440"/>
    <x v="6"/>
    <s v="Sedentary"/>
    <m/>
    <m/>
    <m/>
    <m/>
    <x v="5"/>
  </r>
  <r>
    <x v="0"/>
    <x v="6"/>
    <n v="368"/>
    <n v="0.25999999000000001"/>
    <n v="0.25999999000000001"/>
    <n v="0"/>
    <n v="0"/>
    <n v="0"/>
    <n v="0"/>
    <n v="0"/>
    <n v="0"/>
    <n v="0"/>
    <n v="0"/>
    <n v="1440"/>
    <x v="10"/>
    <s v="Sedentary"/>
    <m/>
    <m/>
    <m/>
    <m/>
    <x v="6"/>
  </r>
  <r>
    <x v="1"/>
    <x v="6"/>
    <n v="949"/>
    <n v="0.689999998"/>
    <n v="0.689999998"/>
    <n v="0"/>
    <n v="0"/>
    <n v="0"/>
    <n v="0.689999998"/>
    <n v="0"/>
    <n v="0"/>
    <n v="0"/>
    <n v="34"/>
    <n v="1406"/>
    <x v="11"/>
    <s v="Sedentary"/>
    <m/>
    <m/>
    <m/>
    <m/>
    <x v="6"/>
  </r>
  <r>
    <x v="0"/>
    <x v="7"/>
    <n v="5702"/>
    <n v="4.0900001530000001"/>
    <n v="4.0900001530000001"/>
    <n v="0"/>
    <n v="0"/>
    <n v="0"/>
    <n v="0"/>
    <n v="0"/>
    <n v="0"/>
    <n v="0"/>
    <n v="0"/>
    <n v="1440"/>
    <x v="12"/>
    <s v="Lightly Active"/>
    <m/>
    <m/>
    <m/>
    <m/>
    <x v="0"/>
  </r>
  <r>
    <x v="1"/>
    <x v="7"/>
    <n v="0"/>
    <n v="0"/>
    <n v="0"/>
    <n v="0"/>
    <n v="0"/>
    <n v="0"/>
    <n v="0"/>
    <n v="0"/>
    <n v="0"/>
    <n v="0"/>
    <n v="0"/>
    <n v="1440"/>
    <x v="1"/>
    <s v="Sedentary"/>
    <m/>
    <m/>
    <m/>
    <m/>
    <x v="0"/>
  </r>
  <r>
    <x v="0"/>
    <x v="8"/>
    <n v="10330"/>
    <n v="7.4099998469999999"/>
    <n v="7.4099998469999999"/>
    <n v="0"/>
    <n v="0"/>
    <n v="0"/>
    <n v="0"/>
    <n v="0"/>
    <n v="0"/>
    <n v="0"/>
    <n v="0"/>
    <n v="1440"/>
    <x v="13"/>
    <s v="Active"/>
    <m/>
    <m/>
    <m/>
    <m/>
    <x v="1"/>
  </r>
  <r>
    <x v="1"/>
    <x v="8"/>
    <n v="44"/>
    <n v="2.9999998999999999E-2"/>
    <n v="2.9999998999999999E-2"/>
    <n v="0"/>
    <n v="0"/>
    <n v="0"/>
    <n v="2.9999998999999999E-2"/>
    <n v="0"/>
    <n v="0"/>
    <n v="0"/>
    <n v="2"/>
    <n v="1438"/>
    <x v="14"/>
    <s v="Sedentary"/>
    <m/>
    <m/>
    <m/>
    <m/>
    <x v="1"/>
  </r>
  <r>
    <x v="0"/>
    <x v="9"/>
    <n v="8778"/>
    <n v="6.2899999619999996"/>
    <n v="6.2899999619999996"/>
    <n v="0"/>
    <n v="0"/>
    <n v="0"/>
    <n v="0"/>
    <n v="0"/>
    <n v="0"/>
    <n v="0"/>
    <n v="0"/>
    <n v="1440"/>
    <x v="15"/>
    <s v="Moderately Active"/>
    <m/>
    <m/>
    <m/>
    <m/>
    <x v="2"/>
  </r>
  <r>
    <x v="1"/>
    <x v="9"/>
    <n v="2660"/>
    <n v="1.940000057"/>
    <n v="1.940000057"/>
    <n v="0"/>
    <n v="0"/>
    <n v="0"/>
    <n v="1.940000057"/>
    <n v="0"/>
    <n v="0"/>
    <n v="0"/>
    <n v="46"/>
    <n v="1394"/>
    <x v="16"/>
    <s v="Sedentary"/>
    <m/>
    <m/>
    <m/>
    <m/>
    <x v="2"/>
  </r>
  <r>
    <x v="0"/>
    <x v="10"/>
    <n v="6662"/>
    <n v="4.7800002099999999"/>
    <n v="4.7800002099999999"/>
    <n v="0"/>
    <n v="0"/>
    <n v="0"/>
    <n v="0"/>
    <n v="0"/>
    <n v="0"/>
    <n v="0"/>
    <n v="0"/>
    <n v="1440"/>
    <x v="17"/>
    <s v="Lightly Active"/>
    <m/>
    <m/>
    <m/>
    <m/>
    <x v="3"/>
  </r>
  <r>
    <x v="1"/>
    <x v="10"/>
    <n v="5561"/>
    <n v="4.1900000569999998"/>
    <n v="4.1900000569999998"/>
    <n v="0"/>
    <n v="0"/>
    <n v="0"/>
    <n v="4.0700001720000003"/>
    <n v="0"/>
    <n v="0"/>
    <n v="0"/>
    <n v="169"/>
    <n v="1271"/>
    <x v="18"/>
    <s v="Lightly Active"/>
    <m/>
    <m/>
    <m/>
    <m/>
    <x v="3"/>
  </r>
  <r>
    <x v="0"/>
    <x v="11"/>
    <n v="6309"/>
    <n v="4.5199999809999998"/>
    <n v="4.5199999809999998"/>
    <n v="0"/>
    <n v="0"/>
    <n v="0"/>
    <n v="0"/>
    <n v="0"/>
    <n v="0"/>
    <n v="0"/>
    <n v="0"/>
    <n v="1440"/>
    <x v="19"/>
    <s v="Lightly Active"/>
    <m/>
    <m/>
    <m/>
    <m/>
    <x v="4"/>
  </r>
  <r>
    <x v="1"/>
    <x v="11"/>
    <n v="7239"/>
    <n v="5.3400001530000001"/>
    <n v="5.3400001530000001"/>
    <n v="0"/>
    <n v="0.55000001200000004"/>
    <n v="0.36000001399999998"/>
    <n v="4.3800001139999996"/>
    <n v="0"/>
    <n v="7"/>
    <n v="7"/>
    <n v="190"/>
    <n v="1236"/>
    <x v="20"/>
    <s v="Lightly Active"/>
    <m/>
    <m/>
    <m/>
    <m/>
    <x v="4"/>
  </r>
  <r>
    <x v="0"/>
    <x v="12"/>
    <n v="1951"/>
    <n v="1.4099999670000001"/>
    <n v="1.4099999670000001"/>
    <n v="0"/>
    <n v="0"/>
    <n v="0"/>
    <n v="0"/>
    <n v="0"/>
    <n v="0"/>
    <n v="0"/>
    <n v="0"/>
    <n v="1440"/>
    <x v="21"/>
    <s v="Sedentary"/>
    <m/>
    <m/>
    <m/>
    <m/>
    <x v="5"/>
  </r>
  <r>
    <x v="1"/>
    <x v="12"/>
    <n v="7"/>
    <n v="0.01"/>
    <n v="0.01"/>
    <n v="0"/>
    <n v="0"/>
    <n v="0"/>
    <n v="0.01"/>
    <n v="0"/>
    <n v="0"/>
    <n v="0"/>
    <n v="1"/>
    <n v="1439"/>
    <x v="22"/>
    <s v="Sedentary"/>
    <m/>
    <m/>
    <m/>
    <m/>
    <x v="5"/>
  </r>
  <r>
    <x v="2"/>
    <x v="13"/>
    <n v="11004"/>
    <n v="7.1100001339999999"/>
    <n v="7.1100001339999999"/>
    <n v="0"/>
    <n v="2.5699999330000001"/>
    <n v="0.46000000800000002"/>
    <n v="4.0700001720000003"/>
    <n v="0"/>
    <n v="33"/>
    <n v="12"/>
    <n v="205"/>
    <n v="804"/>
    <x v="23"/>
    <s v="Active"/>
    <m/>
    <m/>
    <m/>
    <m/>
    <x v="6"/>
  </r>
  <r>
    <x v="3"/>
    <x v="13"/>
    <n v="1810"/>
    <n v="1.1799999480000001"/>
    <n v="1.1799999480000001"/>
    <n v="0"/>
    <n v="0"/>
    <n v="0"/>
    <n v="1.1299999949999999"/>
    <n v="0.01"/>
    <n v="0"/>
    <n v="0"/>
    <n v="121"/>
    <n v="1319"/>
    <x v="24"/>
    <s v="Sedentary"/>
    <m/>
    <m/>
    <m/>
    <m/>
    <x v="6"/>
  </r>
  <r>
    <x v="0"/>
    <x v="13"/>
    <n v="5563"/>
    <n v="3.9900000100000002"/>
    <n v="3.9900000100000002"/>
    <n v="0"/>
    <n v="0"/>
    <n v="0"/>
    <n v="0"/>
    <n v="0"/>
    <n v="0"/>
    <n v="0"/>
    <n v="0"/>
    <n v="1440"/>
    <x v="25"/>
    <s v="Lightly Active"/>
    <m/>
    <m/>
    <m/>
    <m/>
    <x v="6"/>
  </r>
  <r>
    <x v="1"/>
    <x v="13"/>
    <n v="0"/>
    <n v="0"/>
    <n v="0"/>
    <n v="0"/>
    <n v="0"/>
    <n v="0"/>
    <n v="0"/>
    <n v="0"/>
    <n v="0"/>
    <n v="0"/>
    <n v="0"/>
    <n v="1440"/>
    <x v="6"/>
    <s v="Sedentary"/>
    <m/>
    <m/>
    <m/>
    <m/>
    <x v="6"/>
  </r>
  <r>
    <x v="2"/>
    <x v="14"/>
    <n v="17609"/>
    <n v="11.55000019"/>
    <n v="11.55000019"/>
    <n v="0"/>
    <n v="6.920000076"/>
    <n v="0.730000019"/>
    <n v="3.9100000860000002"/>
    <n v="0"/>
    <n v="89"/>
    <n v="17"/>
    <n v="274"/>
    <n v="588"/>
    <x v="26"/>
    <s v="Active"/>
    <m/>
    <m/>
    <m/>
    <m/>
    <x v="0"/>
  </r>
  <r>
    <x v="3"/>
    <x v="14"/>
    <n v="815"/>
    <n v="0.52999997099999996"/>
    <n v="0.52999997099999996"/>
    <n v="0"/>
    <n v="0"/>
    <n v="0"/>
    <n v="0.52999997099999996"/>
    <n v="0"/>
    <n v="0"/>
    <n v="0"/>
    <n v="47"/>
    <n v="1393"/>
    <x v="27"/>
    <s v="Sedentary"/>
    <m/>
    <m/>
    <m/>
    <m/>
    <x v="0"/>
  </r>
  <r>
    <x v="0"/>
    <x v="14"/>
    <n v="4370"/>
    <n v="3.130000114"/>
    <n v="3.130000114"/>
    <n v="0"/>
    <n v="0"/>
    <n v="0"/>
    <n v="0"/>
    <n v="0"/>
    <n v="0"/>
    <n v="0"/>
    <n v="0"/>
    <n v="1440"/>
    <x v="28"/>
    <s v="Sedentary"/>
    <m/>
    <m/>
    <m/>
    <m/>
    <x v="0"/>
  </r>
  <r>
    <x v="1"/>
    <x v="14"/>
    <n v="0"/>
    <n v="0"/>
    <n v="0"/>
    <n v="0"/>
    <n v="0"/>
    <n v="0"/>
    <n v="0"/>
    <n v="0"/>
    <n v="0"/>
    <n v="0"/>
    <n v="0"/>
    <n v="1440"/>
    <x v="6"/>
    <s v="Sedentary"/>
    <m/>
    <m/>
    <m/>
    <m/>
    <x v="0"/>
  </r>
  <r>
    <x v="2"/>
    <x v="15"/>
    <n v="12736"/>
    <n v="8.5299997330000004"/>
    <n v="8.5299997330000004"/>
    <n v="0"/>
    <n v="4.6599998469999999"/>
    <n v="0.15999999600000001"/>
    <n v="3.710000038"/>
    <n v="0"/>
    <n v="56"/>
    <n v="5"/>
    <n v="268"/>
    <n v="605"/>
    <x v="29"/>
    <s v="Active"/>
    <m/>
    <m/>
    <m/>
    <m/>
    <x v="1"/>
  </r>
  <r>
    <x v="3"/>
    <x v="15"/>
    <n v="1985"/>
    <n v="1.289999962"/>
    <n v="1.289999962"/>
    <n v="0"/>
    <n v="0"/>
    <n v="0"/>
    <n v="1.2799999710000001"/>
    <n v="0.01"/>
    <n v="0"/>
    <n v="0"/>
    <n v="112"/>
    <n v="1328"/>
    <x v="30"/>
    <s v="Sedentary"/>
    <m/>
    <m/>
    <m/>
    <m/>
    <x v="1"/>
  </r>
  <r>
    <x v="0"/>
    <x v="15"/>
    <n v="7144"/>
    <n v="5.1199998860000004"/>
    <n v="5.1199998860000004"/>
    <n v="0"/>
    <n v="0"/>
    <n v="0"/>
    <n v="0"/>
    <n v="0"/>
    <n v="0"/>
    <n v="0"/>
    <n v="0"/>
    <n v="1440"/>
    <x v="31"/>
    <s v="Lightly Active"/>
    <m/>
    <m/>
    <m/>
    <m/>
    <x v="1"/>
  </r>
  <r>
    <x v="1"/>
    <x v="15"/>
    <n v="2275"/>
    <n v="1.6799999480000001"/>
    <n v="1.6799999480000001"/>
    <n v="0"/>
    <n v="0"/>
    <n v="0"/>
    <n v="1.6599999670000001"/>
    <n v="0"/>
    <n v="0"/>
    <n v="0"/>
    <n v="86"/>
    <n v="1354"/>
    <x v="32"/>
    <s v="Sedentary"/>
    <m/>
    <m/>
    <m/>
    <m/>
    <x v="1"/>
  </r>
  <r>
    <x v="2"/>
    <x v="16"/>
    <n v="13231"/>
    <n v="8.9300003050000001"/>
    <n v="8.9300003050000001"/>
    <n v="0"/>
    <n v="3.1900000569999998"/>
    <n v="0.790000021"/>
    <n v="4.9499998090000004"/>
    <n v="0"/>
    <n v="39"/>
    <n v="20"/>
    <n v="224"/>
    <n v="1080"/>
    <x v="33"/>
    <s v="Active"/>
    <m/>
    <m/>
    <m/>
    <m/>
    <x v="2"/>
  </r>
  <r>
    <x v="3"/>
    <x v="16"/>
    <n v="1905"/>
    <n v="1.2400000099999999"/>
    <n v="1.2400000099999999"/>
    <n v="0"/>
    <n v="0"/>
    <n v="0"/>
    <n v="1.2400000099999999"/>
    <n v="0"/>
    <n v="0"/>
    <n v="0"/>
    <n v="95"/>
    <n v="1345"/>
    <x v="34"/>
    <s v="Sedentary"/>
    <m/>
    <m/>
    <m/>
    <m/>
    <x v="2"/>
  </r>
  <r>
    <x v="0"/>
    <x v="16"/>
    <n v="2106"/>
    <n v="1.5099999900000001"/>
    <n v="1.5099999900000001"/>
    <n v="0"/>
    <n v="0.02"/>
    <n v="5.0000001000000002E-2"/>
    <n v="0.209999993"/>
    <n v="0"/>
    <n v="31"/>
    <n v="45"/>
    <n v="75"/>
    <n v="1289"/>
    <x v="35"/>
    <s v="Sedentary"/>
    <m/>
    <m/>
    <m/>
    <m/>
    <x v="2"/>
  </r>
  <r>
    <x v="1"/>
    <x v="16"/>
    <n v="8"/>
    <n v="0.01"/>
    <n v="0.01"/>
    <n v="0"/>
    <n v="0"/>
    <n v="0"/>
    <n v="0.01"/>
    <n v="0"/>
    <n v="0"/>
    <n v="0"/>
    <n v="1"/>
    <n v="1439"/>
    <x v="36"/>
    <s v="Sedentary"/>
    <m/>
    <m/>
    <m/>
    <m/>
    <x v="2"/>
  </r>
  <r>
    <x v="2"/>
    <x v="17"/>
    <n v="12041"/>
    <n v="7.8499999049999998"/>
    <n v="7.8499999049999998"/>
    <n v="0"/>
    <n v="2.1600000860000002"/>
    <n v="1.0900000329999999"/>
    <n v="4.6100001339999999"/>
    <n v="0"/>
    <n v="28"/>
    <n v="28"/>
    <n v="243"/>
    <n v="763"/>
    <x v="37"/>
    <s v="Active"/>
    <m/>
    <m/>
    <m/>
    <m/>
    <x v="3"/>
  </r>
  <r>
    <x v="3"/>
    <x v="17"/>
    <n v="1552"/>
    <n v="1.0099999900000001"/>
    <n v="1.0099999900000001"/>
    <n v="0"/>
    <n v="0"/>
    <n v="0"/>
    <n v="1"/>
    <n v="0"/>
    <n v="0"/>
    <n v="0"/>
    <n v="66"/>
    <n v="1374"/>
    <x v="38"/>
    <s v="Sedentary"/>
    <m/>
    <m/>
    <m/>
    <m/>
    <x v="3"/>
  </r>
  <r>
    <x v="4"/>
    <x v="17"/>
    <n v="10272"/>
    <n v="6.7899999619999996"/>
    <n v="6.7899999619999996"/>
    <n v="0"/>
    <n v="0.15999999600000001"/>
    <n v="3.119999886"/>
    <n v="3.5"/>
    <n v="0"/>
    <n v="2"/>
    <n v="58"/>
    <n v="208"/>
    <n v="700"/>
    <x v="39"/>
    <s v="Active"/>
    <m/>
    <m/>
    <m/>
    <m/>
    <x v="3"/>
  </r>
  <r>
    <x v="5"/>
    <x v="17"/>
    <n v="0"/>
    <n v="0"/>
    <n v="0"/>
    <n v="0"/>
    <n v="0"/>
    <n v="0"/>
    <n v="0"/>
    <n v="0"/>
    <n v="0"/>
    <n v="0"/>
    <n v="0"/>
    <n v="1440"/>
    <x v="40"/>
    <s v="Sedentary"/>
    <m/>
    <m/>
    <m/>
    <m/>
    <x v="3"/>
  </r>
  <r>
    <x v="0"/>
    <x v="17"/>
    <n v="4152"/>
    <n v="2.9800000190000002"/>
    <n v="2.9800000190000002"/>
    <n v="0"/>
    <n v="0"/>
    <n v="0"/>
    <n v="2.960000038"/>
    <n v="0"/>
    <n v="0"/>
    <n v="0"/>
    <n v="187"/>
    <n v="1253"/>
    <x v="41"/>
    <s v="Sedentary"/>
    <m/>
    <m/>
    <m/>
    <m/>
    <x v="3"/>
  </r>
  <r>
    <x v="1"/>
    <x v="17"/>
    <n v="5137"/>
    <n v="3.7599999899999998"/>
    <n v="3.7599999899999998"/>
    <n v="0"/>
    <n v="0"/>
    <n v="0"/>
    <n v="3.7599999899999998"/>
    <n v="0"/>
    <n v="0"/>
    <n v="0"/>
    <n v="160"/>
    <n v="1280"/>
    <x v="42"/>
    <s v="Lightly Active"/>
    <m/>
    <m/>
    <m/>
    <m/>
    <x v="3"/>
  </r>
  <r>
    <x v="6"/>
    <x v="17"/>
    <n v="5643"/>
    <n v="3.789999962"/>
    <n v="3.789999962"/>
    <n v="0"/>
    <n v="0.23000000400000001"/>
    <n v="0.33000001299999998"/>
    <n v="3.2300000190000002"/>
    <n v="0"/>
    <n v="3"/>
    <n v="8"/>
    <n v="199"/>
    <n v="683"/>
    <x v="43"/>
    <s v="Lightly Active"/>
    <m/>
    <m/>
    <m/>
    <m/>
    <x v="3"/>
  </r>
  <r>
    <x v="7"/>
    <x v="17"/>
    <n v="0"/>
    <n v="0"/>
    <n v="0"/>
    <n v="0"/>
    <n v="0"/>
    <n v="0"/>
    <n v="0"/>
    <n v="0"/>
    <n v="0"/>
    <n v="0"/>
    <n v="0"/>
    <n v="1440"/>
    <x v="44"/>
    <s v="Sedentary"/>
    <m/>
    <m/>
    <m/>
    <m/>
    <x v="3"/>
  </r>
  <r>
    <x v="8"/>
    <x v="17"/>
    <n v="2303"/>
    <n v="1.5499999520000001"/>
    <n v="1.5499999520000001"/>
    <n v="0"/>
    <n v="0"/>
    <n v="0"/>
    <n v="1.5499999520000001"/>
    <n v="0"/>
    <n v="0"/>
    <n v="0"/>
    <n v="155"/>
    <n v="807"/>
    <x v="45"/>
    <s v="Sedentary"/>
    <m/>
    <m/>
    <m/>
    <m/>
    <x v="3"/>
  </r>
  <r>
    <x v="9"/>
    <x v="17"/>
    <n v="6506"/>
    <n v="5.2800002099999999"/>
    <n v="5.2800002099999999"/>
    <n v="0"/>
    <n v="0.33000001299999998"/>
    <n v="0.27000001099999998"/>
    <n v="4.670000076"/>
    <n v="0"/>
    <n v="4"/>
    <n v="5"/>
    <n v="241"/>
    <n v="760"/>
    <x v="46"/>
    <s v="Lightly Active"/>
    <m/>
    <m/>
    <m/>
    <m/>
    <x v="3"/>
  </r>
  <r>
    <x v="2"/>
    <x v="18"/>
    <n v="10970"/>
    <n v="7.1599998469999999"/>
    <n v="7.1599998469999999"/>
    <n v="0"/>
    <n v="2.3599998950000001"/>
    <n v="0.50999998999999996"/>
    <n v="4.2899999619999996"/>
    <n v="0"/>
    <n v="30"/>
    <n v="13"/>
    <n v="223"/>
    <n v="1174"/>
    <x v="47"/>
    <s v="Active"/>
    <m/>
    <m/>
    <m/>
    <m/>
    <x v="4"/>
  </r>
  <r>
    <x v="3"/>
    <x v="18"/>
    <n v="1675"/>
    <n v="1.0900000329999999"/>
    <n v="1.0900000329999999"/>
    <n v="0"/>
    <n v="0"/>
    <n v="0"/>
    <n v="1.0900000329999999"/>
    <n v="0"/>
    <n v="0"/>
    <n v="0"/>
    <n v="84"/>
    <n v="1356"/>
    <x v="48"/>
    <s v="Sedentary"/>
    <m/>
    <m/>
    <m/>
    <m/>
    <x v="4"/>
  </r>
  <r>
    <x v="4"/>
    <x v="18"/>
    <n v="10533"/>
    <n v="7.0999999049999998"/>
    <n v="7.0999999049999998"/>
    <n v="0"/>
    <n v="1.769999981"/>
    <n v="2.0599999430000002"/>
    <n v="3.2699999809999998"/>
    <n v="0"/>
    <n v="21"/>
    <n v="35"/>
    <n v="255"/>
    <n v="615"/>
    <x v="49"/>
    <s v="Active"/>
    <m/>
    <m/>
    <m/>
    <m/>
    <x v="4"/>
  </r>
  <r>
    <x v="5"/>
    <x v="18"/>
    <n v="0"/>
    <n v="0"/>
    <n v="0"/>
    <n v="0"/>
    <n v="0"/>
    <n v="0"/>
    <n v="0"/>
    <n v="0"/>
    <n v="0"/>
    <n v="0"/>
    <n v="0"/>
    <n v="1440"/>
    <x v="40"/>
    <s v="Sedentary"/>
    <m/>
    <m/>
    <m/>
    <m/>
    <x v="4"/>
  </r>
  <r>
    <x v="0"/>
    <x v="18"/>
    <n v="5400"/>
    <n v="3.869999886"/>
    <n v="3.869999886"/>
    <n v="0"/>
    <n v="0"/>
    <n v="0"/>
    <n v="3.8499999049999998"/>
    <n v="0"/>
    <n v="0"/>
    <n v="0"/>
    <n v="258"/>
    <n v="795"/>
    <x v="50"/>
    <s v="Lightly Active"/>
    <m/>
    <m/>
    <m/>
    <m/>
    <x v="4"/>
  </r>
  <r>
    <x v="1"/>
    <x v="18"/>
    <n v="5419"/>
    <n v="4"/>
    <n v="4.5700001720000003"/>
    <n v="5.5842998999999997E-2"/>
    <n v="0"/>
    <n v="0"/>
    <n v="3.9100000860000002"/>
    <n v="5.9999998999999998E-2"/>
    <n v="0"/>
    <n v="0"/>
    <n v="145"/>
    <n v="1295"/>
    <x v="51"/>
    <s v="Lightly Active"/>
    <m/>
    <m/>
    <m/>
    <m/>
    <x v="4"/>
  </r>
  <r>
    <x v="6"/>
    <x v="18"/>
    <n v="9043"/>
    <n v="6.0700001720000003"/>
    <n v="6.0700001720000003"/>
    <n v="0"/>
    <n v="0.25"/>
    <n v="0.43000000700000002"/>
    <n v="5.3699998860000004"/>
    <n v="0"/>
    <n v="4"/>
    <n v="12"/>
    <n v="244"/>
    <n v="702"/>
    <x v="52"/>
    <s v="Moderately Active"/>
    <m/>
    <m/>
    <m/>
    <m/>
    <x v="4"/>
  </r>
  <r>
    <x v="7"/>
    <x v="18"/>
    <n v="0"/>
    <n v="0"/>
    <n v="0"/>
    <n v="0"/>
    <n v="0"/>
    <n v="0"/>
    <n v="0"/>
    <n v="0"/>
    <n v="0"/>
    <n v="0"/>
    <n v="0"/>
    <n v="1440"/>
    <x v="44"/>
    <s v="Sedentary"/>
    <m/>
    <m/>
    <m/>
    <m/>
    <x v="4"/>
  </r>
  <r>
    <x v="8"/>
    <x v="18"/>
    <n v="2600"/>
    <n v="1.7400000099999999"/>
    <n v="1.7400000099999999"/>
    <n v="0"/>
    <n v="0"/>
    <n v="0"/>
    <n v="1.7400000099999999"/>
    <n v="0"/>
    <n v="0"/>
    <n v="0"/>
    <n v="163"/>
    <n v="1277"/>
    <x v="53"/>
    <s v="Sedentary"/>
    <m/>
    <m/>
    <m/>
    <m/>
    <x v="4"/>
  </r>
  <r>
    <x v="9"/>
    <x v="18"/>
    <n v="7583"/>
    <n v="6.1500000950000002"/>
    <n v="6.1500000950000002"/>
    <n v="0"/>
    <n v="0.25"/>
    <n v="0.55000001200000004"/>
    <n v="5.3499999049999998"/>
    <n v="0"/>
    <n v="3"/>
    <n v="13"/>
    <n v="227"/>
    <n v="742"/>
    <x v="54"/>
    <s v="Moderately Active"/>
    <m/>
    <m/>
    <m/>
    <m/>
    <x v="4"/>
  </r>
  <r>
    <x v="10"/>
    <x v="18"/>
    <n v="15491"/>
    <n v="10.239999770000001"/>
    <n v="10.239999770000001"/>
    <n v="0"/>
    <n v="1.289999962"/>
    <n v="4.4899997709999999"/>
    <n v="4.4600000380000004"/>
    <n v="0"/>
    <n v="18"/>
    <n v="77"/>
    <n v="272"/>
    <n v="641"/>
    <x v="55"/>
    <s v="Active"/>
    <m/>
    <m/>
    <m/>
    <m/>
    <x v="4"/>
  </r>
  <r>
    <x v="2"/>
    <x v="19"/>
    <n v="12256"/>
    <n v="7.8600001339999999"/>
    <n v="7.8600001339999999"/>
    <n v="0"/>
    <n v="2.289999962"/>
    <n v="0.49000000999999999"/>
    <n v="5.0399999619999996"/>
    <n v="0"/>
    <n v="33"/>
    <n v="12"/>
    <n v="239"/>
    <n v="820"/>
    <x v="56"/>
    <s v="Active"/>
    <m/>
    <m/>
    <m/>
    <m/>
    <x v="5"/>
  </r>
  <r>
    <x v="3"/>
    <x v="19"/>
    <n v="4506"/>
    <n v="2.9300000669999999"/>
    <n v="2.9300000669999999"/>
    <n v="0"/>
    <n v="0.50999998999999996"/>
    <n v="0.27000001099999998"/>
    <n v="2.1500000950000002"/>
    <n v="0.01"/>
    <n v="7"/>
    <n v="4"/>
    <n v="144"/>
    <n v="1285"/>
    <x v="57"/>
    <s v="Sedentary"/>
    <m/>
    <m/>
    <m/>
    <m/>
    <x v="5"/>
  </r>
  <r>
    <x v="4"/>
    <x v="19"/>
    <n v="6760"/>
    <n v="4.4699997900000001"/>
    <n v="4.4699997900000001"/>
    <n v="0"/>
    <n v="0"/>
    <n v="0"/>
    <n v="4.4699997900000001"/>
    <n v="0"/>
    <n v="0"/>
    <n v="0"/>
    <n v="250"/>
    <n v="613"/>
    <x v="58"/>
    <s v="Lightly Active"/>
    <m/>
    <m/>
    <m/>
    <m/>
    <x v="5"/>
  </r>
  <r>
    <x v="5"/>
    <x v="19"/>
    <n v="0"/>
    <n v="0"/>
    <n v="0"/>
    <n v="0"/>
    <n v="0"/>
    <n v="0"/>
    <n v="0"/>
    <n v="0"/>
    <n v="0"/>
    <n v="0"/>
    <n v="0"/>
    <n v="1440"/>
    <x v="40"/>
    <s v="Sedentary"/>
    <m/>
    <m/>
    <m/>
    <m/>
    <x v="5"/>
  </r>
  <r>
    <x v="0"/>
    <x v="19"/>
    <n v="7428"/>
    <n v="5.329999924"/>
    <n v="5.329999924"/>
    <n v="0"/>
    <n v="0.87000000499999997"/>
    <n v="0.920000017"/>
    <n v="3.5099999899999998"/>
    <n v="0"/>
    <n v="18"/>
    <n v="33"/>
    <n v="261"/>
    <n v="860"/>
    <x v="59"/>
    <s v="Lightly Active"/>
    <m/>
    <m/>
    <m/>
    <m/>
    <x v="5"/>
  </r>
  <r>
    <x v="1"/>
    <x v="19"/>
    <n v="0"/>
    <n v="0"/>
    <n v="0"/>
    <n v="0"/>
    <n v="0"/>
    <n v="0"/>
    <n v="0"/>
    <n v="0"/>
    <n v="0"/>
    <n v="0"/>
    <n v="0"/>
    <n v="1440"/>
    <x v="6"/>
    <s v="Sedentary"/>
    <m/>
    <m/>
    <m/>
    <m/>
    <x v="5"/>
  </r>
  <r>
    <x v="6"/>
    <x v="19"/>
    <n v="8144"/>
    <n v="5.4600000380000004"/>
    <n v="5.4600000380000004"/>
    <n v="0"/>
    <n v="0.25"/>
    <n v="0.61000001400000003"/>
    <n v="4.6100001339999999"/>
    <n v="0"/>
    <n v="4"/>
    <n v="17"/>
    <n v="247"/>
    <n v="1125"/>
    <x v="60"/>
    <s v="Moderately Active"/>
    <m/>
    <m/>
    <m/>
    <m/>
    <x v="5"/>
  </r>
  <r>
    <x v="7"/>
    <x v="19"/>
    <n v="0"/>
    <n v="0"/>
    <n v="0"/>
    <n v="0"/>
    <n v="0"/>
    <n v="0"/>
    <n v="0"/>
    <n v="0"/>
    <n v="0"/>
    <n v="0"/>
    <n v="0"/>
    <n v="1440"/>
    <x v="44"/>
    <s v="Sedentary"/>
    <m/>
    <m/>
    <m/>
    <m/>
    <x v="5"/>
  </r>
  <r>
    <x v="8"/>
    <x v="19"/>
    <n v="4804"/>
    <n v="3.2200000289999999"/>
    <n v="3.2200000289999999"/>
    <n v="0"/>
    <n v="0"/>
    <n v="0"/>
    <n v="3.2200000289999999"/>
    <n v="0"/>
    <n v="0"/>
    <n v="0"/>
    <n v="238"/>
    <n v="786"/>
    <x v="61"/>
    <s v="Sedentary"/>
    <m/>
    <m/>
    <m/>
    <m/>
    <x v="5"/>
  </r>
  <r>
    <x v="9"/>
    <x v="19"/>
    <n v="6963"/>
    <n v="5.6500000950000002"/>
    <n v="5.6500000950000002"/>
    <n v="0"/>
    <n v="0"/>
    <n v="0"/>
    <n v="5.6500000950000002"/>
    <n v="0"/>
    <n v="0"/>
    <n v="0"/>
    <n v="256"/>
    <n v="759"/>
    <x v="62"/>
    <s v="Lightly Active"/>
    <m/>
    <m/>
    <m/>
    <m/>
    <x v="5"/>
  </r>
  <r>
    <x v="10"/>
    <x v="19"/>
    <n v="14097"/>
    <n v="9.3199996949999999"/>
    <n v="9.3199996949999999"/>
    <n v="0"/>
    <n v="3.5"/>
    <n v="1.9199999569999999"/>
    <n v="3.9000000950000002"/>
    <n v="0"/>
    <n v="50"/>
    <n v="32"/>
    <n v="234"/>
    <n v="595"/>
    <x v="63"/>
    <s v="Active"/>
    <m/>
    <m/>
    <m/>
    <m/>
    <x v="5"/>
  </r>
  <r>
    <x v="2"/>
    <x v="20"/>
    <n v="12262"/>
    <n v="7.8699998860000004"/>
    <n v="7.8699998860000004"/>
    <n v="0"/>
    <n v="3.3199999330000001"/>
    <n v="0.829999983"/>
    <n v="3.6400001049999999"/>
    <n v="0"/>
    <n v="47"/>
    <n v="21"/>
    <n v="200"/>
    <n v="866"/>
    <x v="64"/>
    <s v="Active"/>
    <m/>
    <m/>
    <m/>
    <m/>
    <x v="6"/>
  </r>
  <r>
    <x v="3"/>
    <x v="20"/>
    <n v="9218"/>
    <n v="5.9899997709999999"/>
    <n v="5.9899997709999999"/>
    <n v="0"/>
    <n v="0"/>
    <n v="0"/>
    <n v="5.9699997900000001"/>
    <n v="0.01"/>
    <n v="0"/>
    <n v="0"/>
    <n v="221"/>
    <n v="1219"/>
    <x v="65"/>
    <s v="Moderately Active"/>
    <m/>
    <m/>
    <m/>
    <m/>
    <x v="6"/>
  </r>
  <r>
    <x v="11"/>
    <x v="20"/>
    <n v="4636"/>
    <n v="3.4100000860000002"/>
    <n v="3.4100000860000002"/>
    <n v="0"/>
    <n v="0"/>
    <n v="0.77999997099999996"/>
    <n v="2.5999999049999998"/>
    <n v="2.9999998999999999E-2"/>
    <n v="0"/>
    <n v="16"/>
    <n v="586"/>
    <n v="838"/>
    <x v="66"/>
    <s v="Sedentary"/>
    <m/>
    <m/>
    <m/>
    <m/>
    <x v="6"/>
  </r>
  <r>
    <x v="12"/>
    <x v="20"/>
    <n v="6847"/>
    <n v="4.5300002099999999"/>
    <n v="4.5300002099999999"/>
    <n v="0"/>
    <n v="0.61000001400000003"/>
    <n v="0.37000000500000002"/>
    <n v="3.5499999519999998"/>
    <n v="0"/>
    <n v="9"/>
    <n v="9"/>
    <n v="251"/>
    <n v="1171"/>
    <x v="67"/>
    <s v="Lightly Active"/>
    <m/>
    <m/>
    <m/>
    <m/>
    <x v="6"/>
  </r>
  <r>
    <x v="13"/>
    <x v="20"/>
    <n v="4317"/>
    <n v="2.9900000100000002"/>
    <n v="2.9900000100000002"/>
    <n v="0"/>
    <n v="0"/>
    <n v="0.37000000500000002"/>
    <n v="2.619999886"/>
    <n v="0"/>
    <n v="0"/>
    <n v="11"/>
    <n v="192"/>
    <n v="854"/>
    <x v="68"/>
    <s v="Sedentary"/>
    <m/>
    <m/>
    <m/>
    <m/>
    <x v="6"/>
  </r>
  <r>
    <x v="14"/>
    <x v="20"/>
    <n v="13603"/>
    <n v="9.6000003809999992"/>
    <n v="9.6000003809999992"/>
    <n v="0"/>
    <n v="5.4600000380000004"/>
    <n v="0.62999999500000003"/>
    <n v="3.5099999899999998"/>
    <n v="0"/>
    <n v="72"/>
    <n v="16"/>
    <n v="213"/>
    <n v="1139"/>
    <x v="69"/>
    <s v="Active"/>
    <m/>
    <m/>
    <m/>
    <m/>
    <x v="6"/>
  </r>
  <r>
    <x v="15"/>
    <x v="20"/>
    <n v="2605"/>
    <n v="1.6200000050000001"/>
    <n v="1.6200000050000001"/>
    <n v="0"/>
    <n v="0"/>
    <n v="0"/>
    <n v="1.6200000050000001"/>
    <n v="0"/>
    <n v="0"/>
    <n v="0"/>
    <n v="166"/>
    <n v="729"/>
    <x v="70"/>
    <s v="Sedentary"/>
    <m/>
    <m/>
    <m/>
    <m/>
    <x v="6"/>
  </r>
  <r>
    <x v="16"/>
    <x v="20"/>
    <n v="0"/>
    <n v="0"/>
    <n v="0"/>
    <n v="0"/>
    <n v="0"/>
    <n v="0"/>
    <n v="0"/>
    <n v="0"/>
    <n v="0"/>
    <n v="0"/>
    <n v="0"/>
    <n v="1440"/>
    <x v="71"/>
    <s v="Sedentary"/>
    <m/>
    <m/>
    <m/>
    <m/>
    <x v="6"/>
  </r>
  <r>
    <x v="4"/>
    <x v="20"/>
    <n v="8328"/>
    <n v="5.5100002290000001"/>
    <n v="5.5100002290000001"/>
    <n v="0"/>
    <n v="0"/>
    <n v="2"/>
    <n v="3.5"/>
    <n v="0"/>
    <n v="0"/>
    <n v="33"/>
    <n v="212"/>
    <n v="804"/>
    <x v="8"/>
    <s v="Moderately Active"/>
    <m/>
    <m/>
    <m/>
    <m/>
    <x v="6"/>
  </r>
  <r>
    <x v="17"/>
    <x v="20"/>
    <n v="890"/>
    <n v="0.60000002399999997"/>
    <n v="0.60000002399999997"/>
    <n v="0"/>
    <n v="0"/>
    <n v="0"/>
    <n v="0.60000002399999997"/>
    <n v="0"/>
    <n v="0"/>
    <n v="0"/>
    <n v="41"/>
    <n v="1399"/>
    <x v="72"/>
    <s v="Sedentary"/>
    <m/>
    <m/>
    <m/>
    <m/>
    <x v="6"/>
  </r>
  <r>
    <x v="5"/>
    <x v="20"/>
    <n v="0"/>
    <n v="0"/>
    <n v="0"/>
    <n v="4.828032017"/>
    <n v="0"/>
    <n v="0"/>
    <n v="0"/>
    <n v="0"/>
    <n v="0"/>
    <n v="660"/>
    <n v="0"/>
    <n v="780"/>
    <x v="73"/>
    <s v="Sedentary"/>
    <m/>
    <m/>
    <m/>
    <m/>
    <x v="6"/>
  </r>
  <r>
    <x v="18"/>
    <x v="20"/>
    <n v="5785"/>
    <n v="3.9500000480000002"/>
    <n v="3.9500000480000002"/>
    <n v="0"/>
    <n v="0"/>
    <n v="0"/>
    <n v="3.9100000860000002"/>
    <n v="3.9999999000000001E-2"/>
    <n v="0"/>
    <n v="0"/>
    <n v="311"/>
    <n v="1129"/>
    <x v="74"/>
    <s v="Lightly Active"/>
    <m/>
    <m/>
    <m/>
    <m/>
    <x v="6"/>
  </r>
  <r>
    <x v="19"/>
    <x v="20"/>
    <n v="4499"/>
    <n v="3.0099999899999998"/>
    <n v="3.0099999899999998"/>
    <n v="0"/>
    <n v="0"/>
    <n v="0"/>
    <n v="3.0099999899999998"/>
    <n v="0"/>
    <n v="0"/>
    <n v="0"/>
    <n v="168"/>
    <n v="842"/>
    <x v="75"/>
    <s v="Sedentary"/>
    <m/>
    <m/>
    <m/>
    <m/>
    <x v="6"/>
  </r>
  <r>
    <x v="0"/>
    <x v="20"/>
    <n v="5351"/>
    <n v="3.8399999139999998"/>
    <n v="3.8399999139999998"/>
    <n v="0"/>
    <n v="0.62000000499999997"/>
    <n v="0.18000000699999999"/>
    <n v="3.0099999899999998"/>
    <n v="0"/>
    <n v="15"/>
    <n v="17"/>
    <n v="210"/>
    <n v="748"/>
    <x v="76"/>
    <s v="Lightly Active"/>
    <m/>
    <m/>
    <m/>
    <m/>
    <x v="6"/>
  </r>
  <r>
    <x v="1"/>
    <x v="20"/>
    <n v="0"/>
    <n v="0"/>
    <n v="0"/>
    <n v="0"/>
    <n v="0"/>
    <n v="0"/>
    <n v="0"/>
    <n v="0"/>
    <n v="0"/>
    <n v="0"/>
    <n v="0"/>
    <n v="1440"/>
    <x v="6"/>
    <s v="Sedentary"/>
    <m/>
    <m/>
    <m/>
    <m/>
    <x v="6"/>
  </r>
  <r>
    <x v="6"/>
    <x v="20"/>
    <n v="9343"/>
    <n v="6.2699999809999998"/>
    <n v="6.2699999809999998"/>
    <n v="0"/>
    <n v="0.959999979"/>
    <n v="0.85000002399999997"/>
    <n v="4.4600000380000004"/>
    <n v="0"/>
    <n v="14"/>
    <n v="20"/>
    <n v="268"/>
    <n v="654"/>
    <x v="77"/>
    <s v="Moderately Active"/>
    <m/>
    <m/>
    <m/>
    <m/>
    <x v="6"/>
  </r>
  <r>
    <x v="7"/>
    <x v="20"/>
    <n v="0"/>
    <n v="0"/>
    <n v="0"/>
    <n v="0"/>
    <n v="0"/>
    <n v="0"/>
    <n v="0"/>
    <n v="0"/>
    <n v="0"/>
    <n v="0"/>
    <n v="0"/>
    <n v="1440"/>
    <x v="44"/>
    <s v="Sedentary"/>
    <m/>
    <m/>
    <m/>
    <m/>
    <x v="6"/>
  </r>
  <r>
    <x v="8"/>
    <x v="20"/>
    <n v="3271"/>
    <n v="2.1900000569999998"/>
    <n v="2.1900000569999998"/>
    <n v="0"/>
    <n v="0"/>
    <n v="0"/>
    <n v="2.1900000569999998"/>
    <n v="0"/>
    <n v="0"/>
    <n v="0"/>
    <n v="205"/>
    <n v="898"/>
    <x v="78"/>
    <s v="Sedentary"/>
    <m/>
    <m/>
    <m/>
    <m/>
    <x v="6"/>
  </r>
  <r>
    <x v="20"/>
    <x v="20"/>
    <n v="5336"/>
    <n v="3.5299999710000001"/>
    <n v="3.5299999710000001"/>
    <n v="0"/>
    <n v="0"/>
    <n v="0"/>
    <n v="3.5299999710000001"/>
    <n v="0"/>
    <n v="0"/>
    <n v="0"/>
    <n v="258"/>
    <n v="1182"/>
    <x v="79"/>
    <s v="Lightly Active"/>
    <m/>
    <m/>
    <m/>
    <m/>
    <x v="6"/>
  </r>
  <r>
    <x v="9"/>
    <x v="20"/>
    <n v="7165"/>
    <n v="5.8099999430000002"/>
    <n v="5.8099999430000002"/>
    <n v="0"/>
    <n v="0"/>
    <n v="0.37000000500000002"/>
    <n v="5.4400000569999998"/>
    <n v="0"/>
    <n v="0"/>
    <n v="9"/>
    <n v="248"/>
    <n v="708"/>
    <x v="80"/>
    <s v="Lightly Active"/>
    <m/>
    <m/>
    <m/>
    <m/>
    <x v="6"/>
  </r>
  <r>
    <x v="21"/>
    <x v="20"/>
    <n v="12409"/>
    <n v="8.1000003809999992"/>
    <n v="8.1000003809999992"/>
    <n v="0"/>
    <n v="2.9000000950000002"/>
    <n v="0.62999999500000003"/>
    <n v="4.579999924"/>
    <n v="0"/>
    <n v="51"/>
    <n v="12"/>
    <n v="235"/>
    <n v="782"/>
    <x v="81"/>
    <s v="Active"/>
    <m/>
    <m/>
    <m/>
    <m/>
    <x v="6"/>
  </r>
  <r>
    <x v="22"/>
    <x v="20"/>
    <n v="10461"/>
    <n v="7.8699998860000004"/>
    <n v="7.8699998860000004"/>
    <n v="0"/>
    <n v="4.7600002290000001"/>
    <n v="0.85000002399999997"/>
    <n v="2.25"/>
    <n v="0"/>
    <n v="99"/>
    <n v="31"/>
    <n v="142"/>
    <n v="721"/>
    <x v="82"/>
    <s v="Active"/>
    <m/>
    <m/>
    <m/>
    <m/>
    <x v="6"/>
  </r>
  <r>
    <x v="23"/>
    <x v="20"/>
    <n v="7444"/>
    <n v="5.6199998860000004"/>
    <n v="5.6199998860000004"/>
    <n v="0"/>
    <n v="0"/>
    <n v="0"/>
    <n v="5.6199998860000004"/>
    <n v="0"/>
    <n v="0"/>
    <n v="0"/>
    <n v="286"/>
    <n v="568"/>
    <x v="83"/>
    <s v="Lightly Active"/>
    <m/>
    <m/>
    <m/>
    <m/>
    <x v="6"/>
  </r>
  <r>
    <x v="24"/>
    <x v="20"/>
    <n v="6633"/>
    <n v="5.0100002290000001"/>
    <n v="5.0100002290000001"/>
    <n v="0"/>
    <n v="0"/>
    <n v="0"/>
    <n v="5.0100002290000001"/>
    <n v="0"/>
    <n v="0"/>
    <n v="0"/>
    <n v="280"/>
    <n v="1160"/>
    <x v="84"/>
    <s v="Lightly Active"/>
    <m/>
    <m/>
    <m/>
    <m/>
    <x v="6"/>
  </r>
  <r>
    <x v="25"/>
    <x v="20"/>
    <n v="0"/>
    <n v="0"/>
    <n v="0"/>
    <n v="0"/>
    <n v="0"/>
    <n v="0"/>
    <n v="0"/>
    <n v="0"/>
    <n v="0"/>
    <n v="0"/>
    <n v="0"/>
    <n v="1440"/>
    <x v="47"/>
    <s v="Sedentary"/>
    <m/>
    <m/>
    <m/>
    <m/>
    <x v="6"/>
  </r>
  <r>
    <x v="26"/>
    <x v="20"/>
    <n v="7225"/>
    <n v="5.1799998279999997"/>
    <n v="5.1799998279999997"/>
    <n v="0"/>
    <n v="1.730000019"/>
    <n v="1.269999981"/>
    <n v="2.1800000669999999"/>
    <n v="0"/>
    <n v="25"/>
    <n v="50"/>
    <n v="163"/>
    <n v="1189"/>
    <x v="85"/>
    <s v="Lightly Active"/>
    <m/>
    <m/>
    <m/>
    <m/>
    <x v="6"/>
  </r>
  <r>
    <x v="10"/>
    <x v="20"/>
    <n v="10467"/>
    <n v="6.9800000190000002"/>
    <n v="6.9800000190000002"/>
    <n v="0"/>
    <n v="0.69999998799999996"/>
    <n v="2.4300000669999999"/>
    <n v="3.8499999049999998"/>
    <n v="0"/>
    <n v="9"/>
    <n v="45"/>
    <n v="252"/>
    <n v="602"/>
    <x v="86"/>
    <s v="Active"/>
    <m/>
    <m/>
    <m/>
    <m/>
    <x v="6"/>
  </r>
  <r>
    <x v="27"/>
    <x v="20"/>
    <n v="11680"/>
    <n v="9.0600004199999997"/>
    <n v="7.8099999430000002"/>
    <n v="4.9012827870000004"/>
    <n v="4.4899997709999999"/>
    <n v="0.33000001299999998"/>
    <n v="4.2399997709999999"/>
    <n v="0"/>
    <n v="50"/>
    <n v="7"/>
    <n v="244"/>
    <n v="1139"/>
    <x v="87"/>
    <s v="Active"/>
    <m/>
    <m/>
    <m/>
    <m/>
    <x v="6"/>
  </r>
  <r>
    <x v="28"/>
    <x v="20"/>
    <n v="11463"/>
    <n v="7.670000076"/>
    <n v="7.670000076"/>
    <n v="0"/>
    <n v="2.829999924"/>
    <n v="1.8899999860000001"/>
    <n v="2.9300000669999999"/>
    <n v="0"/>
    <n v="38"/>
    <n v="30"/>
    <n v="154"/>
    <n v="777"/>
    <x v="88"/>
    <s v="Active"/>
    <m/>
    <m/>
    <m/>
    <m/>
    <x v="6"/>
  </r>
  <r>
    <x v="29"/>
    <x v="20"/>
    <n v="0"/>
    <n v="0"/>
    <n v="0"/>
    <n v="0"/>
    <n v="0"/>
    <n v="0"/>
    <n v="0"/>
    <n v="0"/>
    <n v="0"/>
    <n v="0"/>
    <n v="0"/>
    <n v="1440"/>
    <x v="89"/>
    <s v="Sedentary"/>
    <m/>
    <m/>
    <m/>
    <m/>
    <x v="6"/>
  </r>
  <r>
    <x v="30"/>
    <x v="20"/>
    <n v="14179"/>
    <n v="11.239999770000001"/>
    <n v="11.239999770000001"/>
    <n v="0"/>
    <n v="6.2300000190000002"/>
    <n v="1.059999943"/>
    <n v="3.960000038"/>
    <n v="0"/>
    <n v="73"/>
    <n v="21"/>
    <n v="195"/>
    <n v="719"/>
    <x v="90"/>
    <s v="Active"/>
    <m/>
    <m/>
    <m/>
    <m/>
    <x v="6"/>
  </r>
  <r>
    <x v="31"/>
    <x v="20"/>
    <n v="2174"/>
    <n v="1.7000000479999999"/>
    <n v="1.7000000479999999"/>
    <n v="0"/>
    <n v="0"/>
    <n v="0"/>
    <n v="1.7000000479999999"/>
    <n v="0"/>
    <n v="0"/>
    <n v="0"/>
    <n v="112"/>
    <n v="1328"/>
    <x v="91"/>
    <s v="Sedentary"/>
    <m/>
    <m/>
    <m/>
    <m/>
    <x v="6"/>
  </r>
  <r>
    <x v="32"/>
    <x v="20"/>
    <n v="4592"/>
    <n v="2.9400000569999998"/>
    <n v="2.9400000569999998"/>
    <n v="0"/>
    <n v="0.10000000100000001"/>
    <n v="0.14000000100000001"/>
    <n v="2.7000000480000002"/>
    <n v="0"/>
    <n v="4"/>
    <n v="8"/>
    <n v="176"/>
    <n v="748"/>
    <x v="92"/>
    <s v="Sedentary"/>
    <m/>
    <m/>
    <m/>
    <m/>
    <x v="6"/>
  </r>
  <r>
    <x v="33"/>
    <x v="20"/>
    <n v="18700"/>
    <n v="15.81999969"/>
    <n v="15.81999969"/>
    <n v="0"/>
    <n v="8.6999998089999995"/>
    <n v="0.15999999600000001"/>
    <n v="6.9099998469999999"/>
    <n v="0"/>
    <n v="67"/>
    <n v="3"/>
    <n v="247"/>
    <n v="1123"/>
    <x v="93"/>
    <s v="Active"/>
    <m/>
    <m/>
    <m/>
    <m/>
    <x v="6"/>
  </r>
  <r>
    <x v="2"/>
    <x v="21"/>
    <n v="11248"/>
    <n v="7.25"/>
    <n v="7.25"/>
    <n v="0"/>
    <n v="3"/>
    <n v="0.44999998800000002"/>
    <n v="3.7400000100000002"/>
    <n v="0"/>
    <n v="40"/>
    <n v="11"/>
    <n v="244"/>
    <n v="636"/>
    <x v="94"/>
    <s v="Active"/>
    <m/>
    <m/>
    <m/>
    <m/>
    <x v="0"/>
  </r>
  <r>
    <x v="3"/>
    <x v="21"/>
    <n v="1556"/>
    <n v="1.0099999900000001"/>
    <n v="1.0099999900000001"/>
    <n v="0"/>
    <n v="0"/>
    <n v="0"/>
    <n v="1.0099999900000001"/>
    <n v="0.01"/>
    <n v="0"/>
    <n v="0"/>
    <n v="88"/>
    <n v="1352"/>
    <x v="95"/>
    <s v="Sedentary"/>
    <m/>
    <m/>
    <m/>
    <m/>
    <x v="0"/>
  </r>
  <r>
    <x v="11"/>
    <x v="21"/>
    <n v="20237"/>
    <n v="14.710000040000001"/>
    <n v="14.710000040000001"/>
    <n v="0"/>
    <n v="2.5699999330000001"/>
    <n v="6.4000000950000002"/>
    <n v="5.7300000190000002"/>
    <n v="0.01"/>
    <n v="34"/>
    <n v="141"/>
    <n v="347"/>
    <n v="918"/>
    <x v="96"/>
    <s v="Active"/>
    <m/>
    <m/>
    <m/>
    <m/>
    <x v="0"/>
  </r>
  <r>
    <x v="12"/>
    <x v="21"/>
    <n v="5367"/>
    <n v="3.5499999519999998"/>
    <n v="3.5499999519999998"/>
    <n v="0"/>
    <n v="0"/>
    <n v="0"/>
    <n v="3.5499999519999998"/>
    <n v="0"/>
    <n v="0"/>
    <n v="0"/>
    <n v="263"/>
    <n v="1177"/>
    <x v="56"/>
    <s v="Lightly Active"/>
    <m/>
    <m/>
    <m/>
    <m/>
    <x v="0"/>
  </r>
  <r>
    <x v="13"/>
    <x v="21"/>
    <n v="5662"/>
    <n v="3.920000076"/>
    <n v="3.920000076"/>
    <n v="0"/>
    <n v="0"/>
    <n v="0"/>
    <n v="3.920000076"/>
    <n v="0"/>
    <n v="0"/>
    <n v="0"/>
    <n v="267"/>
    <n v="858"/>
    <x v="97"/>
    <s v="Lightly Active"/>
    <m/>
    <m/>
    <m/>
    <m/>
    <x v="0"/>
  </r>
  <r>
    <x v="14"/>
    <x v="21"/>
    <n v="5477"/>
    <n v="3.8399999139999998"/>
    <n v="3.8399999139999998"/>
    <n v="0"/>
    <n v="0"/>
    <n v="0"/>
    <n v="3.8399999139999998"/>
    <n v="0"/>
    <n v="0"/>
    <n v="0"/>
    <n v="237"/>
    <n v="1203"/>
    <x v="98"/>
    <s v="Lightly Active"/>
    <m/>
    <m/>
    <m/>
    <m/>
    <x v="0"/>
  </r>
  <r>
    <x v="15"/>
    <x v="21"/>
    <n v="1229"/>
    <n v="0.75999998999999996"/>
    <n v="0.75999998999999996"/>
    <n v="0"/>
    <n v="0"/>
    <n v="0"/>
    <n v="0.75999998999999996"/>
    <n v="0"/>
    <n v="0"/>
    <n v="0"/>
    <n v="69"/>
    <n v="795"/>
    <x v="99"/>
    <s v="Sedentary"/>
    <m/>
    <m/>
    <m/>
    <m/>
    <x v="0"/>
  </r>
  <r>
    <x v="16"/>
    <x v="21"/>
    <n v="0"/>
    <n v="0"/>
    <n v="0"/>
    <n v="0"/>
    <n v="0"/>
    <n v="0"/>
    <n v="0"/>
    <n v="0"/>
    <n v="0"/>
    <n v="0"/>
    <n v="0"/>
    <n v="1440"/>
    <x v="71"/>
    <s v="Sedentary"/>
    <m/>
    <m/>
    <m/>
    <m/>
    <x v="0"/>
  </r>
  <r>
    <x v="4"/>
    <x v="21"/>
    <n v="15459"/>
    <n v="10.22000027"/>
    <n v="10.22000027"/>
    <n v="0"/>
    <n v="3.5899999139999998"/>
    <n v="0.810000002"/>
    <n v="5.8200001720000003"/>
    <n v="0"/>
    <n v="51"/>
    <n v="16"/>
    <n v="327"/>
    <n v="583"/>
    <x v="100"/>
    <s v="Active"/>
    <m/>
    <m/>
    <m/>
    <m/>
    <x v="0"/>
  </r>
  <r>
    <x v="17"/>
    <x v="21"/>
    <n v="2214"/>
    <n v="1.4900000099999999"/>
    <n v="1.4900000099999999"/>
    <n v="0"/>
    <n v="0"/>
    <n v="0"/>
    <n v="1.4900000099999999"/>
    <n v="0"/>
    <n v="0"/>
    <n v="0"/>
    <n v="197"/>
    <n v="1243"/>
    <x v="101"/>
    <s v="Sedentary"/>
    <m/>
    <m/>
    <m/>
    <m/>
    <x v="0"/>
  </r>
  <r>
    <x v="5"/>
    <x v="21"/>
    <n v="4126"/>
    <n v="3.2200000289999999"/>
    <n v="0"/>
    <n v="3.2186880109999998"/>
    <n v="0"/>
    <n v="0"/>
    <n v="3.2200000289999999"/>
    <n v="0"/>
    <n v="0"/>
    <n v="0"/>
    <n v="720"/>
    <n v="720"/>
    <x v="102"/>
    <s v="Sedentary"/>
    <m/>
    <m/>
    <m/>
    <m/>
    <x v="0"/>
  </r>
  <r>
    <x v="18"/>
    <x v="21"/>
    <n v="7625"/>
    <n v="5.2300000190000002"/>
    <n v="5.2300000190000002"/>
    <n v="0"/>
    <n v="1.6799999480000001"/>
    <n v="3.9999999000000001E-2"/>
    <n v="3.5"/>
    <n v="0.01"/>
    <n v="24"/>
    <n v="1"/>
    <n v="341"/>
    <n v="1074"/>
    <x v="103"/>
    <s v="Moderately Active"/>
    <m/>
    <m/>
    <m/>
    <m/>
    <x v="0"/>
  </r>
  <r>
    <x v="19"/>
    <x v="21"/>
    <n v="7618"/>
    <n v="5.0999999049999998"/>
    <n v="5.0999999049999998"/>
    <n v="0"/>
    <n v="0"/>
    <n v="0.18000000699999999"/>
    <n v="4.9099998469999999"/>
    <n v="0"/>
    <n v="0"/>
    <n v="6"/>
    <n v="302"/>
    <n v="842"/>
    <x v="104"/>
    <s v="Moderately Active"/>
    <m/>
    <m/>
    <m/>
    <m/>
    <x v="0"/>
  </r>
  <r>
    <x v="0"/>
    <x v="21"/>
    <n v="4299"/>
    <n v="3.0999999049999998"/>
    <n v="3.0999999049999998"/>
    <n v="0"/>
    <n v="9.0000003999999995E-2"/>
    <n v="0.209999993"/>
    <n v="2.7400000100000002"/>
    <n v="3.9999999000000001E-2"/>
    <n v="3"/>
    <n v="15"/>
    <n v="162"/>
    <n v="752"/>
    <x v="105"/>
    <s v="Sedentary"/>
    <m/>
    <m/>
    <m/>
    <m/>
    <x v="0"/>
  </r>
  <r>
    <x v="1"/>
    <x v="21"/>
    <n v="0"/>
    <n v="0"/>
    <n v="0"/>
    <n v="0"/>
    <n v="0"/>
    <n v="0"/>
    <n v="0"/>
    <n v="0"/>
    <n v="0"/>
    <n v="0"/>
    <n v="0"/>
    <n v="1440"/>
    <x v="6"/>
    <s v="Sedentary"/>
    <m/>
    <m/>
    <m/>
    <m/>
    <x v="0"/>
  </r>
  <r>
    <x v="6"/>
    <x v="21"/>
    <n v="8405"/>
    <n v="5.6599998469999999"/>
    <n v="5.6599998469999999"/>
    <n v="0"/>
    <n v="1.1299999949999999"/>
    <n v="0.189999998"/>
    <n v="4.3400001530000001"/>
    <n v="0"/>
    <n v="15"/>
    <n v="4"/>
    <n v="257"/>
    <n v="621"/>
    <x v="26"/>
    <s v="Moderately Active"/>
    <m/>
    <m/>
    <m/>
    <m/>
    <x v="0"/>
  </r>
  <r>
    <x v="7"/>
    <x v="21"/>
    <n v="0"/>
    <n v="0"/>
    <n v="0"/>
    <n v="0"/>
    <n v="0"/>
    <n v="0"/>
    <n v="0"/>
    <n v="0"/>
    <n v="0"/>
    <n v="0"/>
    <n v="0"/>
    <n v="1440"/>
    <x v="44"/>
    <s v="Sedentary"/>
    <m/>
    <m/>
    <m/>
    <m/>
    <x v="0"/>
  </r>
  <r>
    <x v="8"/>
    <x v="21"/>
    <n v="5406"/>
    <n v="3.630000114"/>
    <n v="3.630000114"/>
    <n v="0"/>
    <n v="0"/>
    <n v="0"/>
    <n v="3.6099998950000001"/>
    <n v="0"/>
    <n v="0"/>
    <n v="0"/>
    <n v="273"/>
    <n v="672"/>
    <x v="106"/>
    <s v="Lightly Active"/>
    <m/>
    <m/>
    <m/>
    <m/>
    <x v="0"/>
  </r>
  <r>
    <x v="20"/>
    <x v="21"/>
    <n v="3183"/>
    <n v="2.0999999049999998"/>
    <n v="2.0999999049999998"/>
    <n v="0"/>
    <n v="0"/>
    <n v="0"/>
    <n v="2.0999999049999998"/>
    <n v="0"/>
    <n v="0"/>
    <n v="0"/>
    <n v="173"/>
    <n v="1180"/>
    <x v="107"/>
    <s v="Sedentary"/>
    <m/>
    <m/>
    <m/>
    <m/>
    <x v="0"/>
  </r>
  <r>
    <x v="9"/>
    <x v="21"/>
    <n v="10328"/>
    <n v="8.3800001139999996"/>
    <n v="8.3800001139999996"/>
    <n v="0"/>
    <n v="0"/>
    <n v="1.460000038"/>
    <n v="6.920000076"/>
    <n v="0"/>
    <n v="0"/>
    <n v="32"/>
    <n v="367"/>
    <n v="475"/>
    <x v="66"/>
    <s v="Active"/>
    <m/>
    <m/>
    <m/>
    <m/>
    <x v="0"/>
  </r>
  <r>
    <x v="21"/>
    <x v="21"/>
    <n v="2937"/>
    <n v="1.9199999569999999"/>
    <n v="1.9199999569999999"/>
    <n v="0"/>
    <n v="0"/>
    <n v="0"/>
    <n v="1.9099999670000001"/>
    <n v="0"/>
    <n v="0"/>
    <n v="0"/>
    <n v="181"/>
    <n v="356"/>
    <x v="108"/>
    <s v="Sedentary"/>
    <m/>
    <m/>
    <m/>
    <m/>
    <x v="0"/>
  </r>
  <r>
    <x v="22"/>
    <x v="21"/>
    <n v="14873"/>
    <n v="11.10999966"/>
    <n v="11.10999966"/>
    <n v="0"/>
    <n v="8.1899995800000003"/>
    <n v="0.60000002399999997"/>
    <n v="2.3099999430000002"/>
    <n v="0"/>
    <n v="202"/>
    <n v="36"/>
    <n v="153"/>
    <n v="663"/>
    <x v="109"/>
    <s v="Active"/>
    <m/>
    <m/>
    <m/>
    <m/>
    <x v="0"/>
  </r>
  <r>
    <x v="23"/>
    <x v="21"/>
    <n v="19658"/>
    <n v="14.84000015"/>
    <n v="14.84000015"/>
    <n v="0"/>
    <n v="0.23999999499999999"/>
    <n v="2.0899999139999998"/>
    <n v="12.510000229999999"/>
    <n v="0"/>
    <n v="3"/>
    <n v="30"/>
    <n v="475"/>
    <n v="466"/>
    <x v="110"/>
    <s v="Active"/>
    <m/>
    <m/>
    <m/>
    <m/>
    <x v="0"/>
  </r>
  <r>
    <x v="24"/>
    <x v="21"/>
    <n v="9548"/>
    <n v="7.2199997900000001"/>
    <n v="7.2199997900000001"/>
    <n v="0"/>
    <n v="2.0199999809999998"/>
    <n v="3.6800000669999999"/>
    <n v="1.519999981"/>
    <n v="0"/>
    <n v="25"/>
    <n v="107"/>
    <n v="113"/>
    <n v="1195"/>
    <x v="111"/>
    <s v="Moderately Active"/>
    <m/>
    <m/>
    <m/>
    <m/>
    <x v="0"/>
  </r>
  <r>
    <x v="25"/>
    <x v="21"/>
    <n v="2101"/>
    <n v="2.0299999710000001"/>
    <n v="0"/>
    <n v="2.0277729029999998"/>
    <n v="2.0299999710000001"/>
    <n v="0"/>
    <n v="0"/>
    <n v="0"/>
    <n v="46"/>
    <n v="0"/>
    <n v="0"/>
    <n v="1394"/>
    <x v="112"/>
    <s v="Sedentary"/>
    <m/>
    <m/>
    <m/>
    <m/>
    <x v="0"/>
  </r>
  <r>
    <x v="26"/>
    <x v="21"/>
    <n v="1988"/>
    <n v="1.4299999480000001"/>
    <n v="1.4299999480000001"/>
    <n v="0"/>
    <n v="0"/>
    <n v="0"/>
    <n v="1.4299999480000001"/>
    <n v="0"/>
    <n v="0"/>
    <n v="0"/>
    <n v="79"/>
    <n v="909"/>
    <x v="113"/>
    <s v="Sedentary"/>
    <m/>
    <m/>
    <m/>
    <m/>
    <x v="0"/>
  </r>
  <r>
    <x v="10"/>
    <x v="21"/>
    <n v="12437"/>
    <n v="8.3000001910000005"/>
    <n v="8.3000001910000005"/>
    <n v="0"/>
    <n v="3.7599999899999998"/>
    <n v="1.289999962"/>
    <n v="3.2400000100000002"/>
    <n v="0"/>
    <n v="50"/>
    <n v="24"/>
    <n v="219"/>
    <n v="732"/>
    <x v="114"/>
    <s v="Active"/>
    <m/>
    <m/>
    <m/>
    <m/>
    <x v="0"/>
  </r>
  <r>
    <x v="27"/>
    <x v="21"/>
    <n v="10976"/>
    <n v="7.3400001530000001"/>
    <n v="7.3400001530000001"/>
    <n v="0"/>
    <n v="0.55000001200000004"/>
    <n v="0.670000017"/>
    <n v="6.1300001139999996"/>
    <n v="0"/>
    <n v="9"/>
    <n v="16"/>
    <n v="271"/>
    <n v="1075"/>
    <x v="115"/>
    <s v="Active"/>
    <m/>
    <m/>
    <m/>
    <m/>
    <x v="0"/>
  </r>
  <r>
    <x v="28"/>
    <x v="21"/>
    <n v="87"/>
    <n v="0.02"/>
    <n v="0.02"/>
    <n v="0"/>
    <n v="0"/>
    <n v="0"/>
    <n v="0.01"/>
    <n v="0"/>
    <n v="0"/>
    <n v="0"/>
    <n v="2"/>
    <n v="872"/>
    <x v="116"/>
    <s v="Sedentary"/>
    <m/>
    <m/>
    <m/>
    <m/>
    <x v="0"/>
  </r>
  <r>
    <x v="34"/>
    <x v="21"/>
    <n v="20188"/>
    <n v="15.619999890000001"/>
    <n v="15.619999890000001"/>
    <n v="0"/>
    <n v="12.06000042"/>
    <n v="0.85000002399999997"/>
    <n v="2.710000038"/>
    <n v="0"/>
    <n v="124"/>
    <n v="19"/>
    <n v="172"/>
    <n v="1125"/>
    <x v="117"/>
    <s v="Active"/>
    <m/>
    <m/>
    <m/>
    <m/>
    <x v="0"/>
  </r>
  <r>
    <x v="29"/>
    <x v="21"/>
    <n v="0"/>
    <n v="0"/>
    <n v="0"/>
    <n v="0"/>
    <n v="0"/>
    <n v="0"/>
    <n v="0"/>
    <n v="0"/>
    <n v="0"/>
    <n v="0"/>
    <n v="0"/>
    <n v="1440"/>
    <x v="89"/>
    <s v="Sedentary"/>
    <m/>
    <m/>
    <m/>
    <m/>
    <x v="0"/>
  </r>
  <r>
    <x v="30"/>
    <x v="21"/>
    <n v="3358"/>
    <n v="2.6600000860000002"/>
    <n v="2.6600000860000002"/>
    <n v="0"/>
    <n v="0"/>
    <n v="0"/>
    <n v="2.6600000860000002"/>
    <n v="0"/>
    <n v="0"/>
    <n v="0"/>
    <n v="144"/>
    <n v="657"/>
    <x v="118"/>
    <s v="Sedentary"/>
    <m/>
    <m/>
    <m/>
    <m/>
    <x v="0"/>
  </r>
  <r>
    <x v="31"/>
    <x v="21"/>
    <n v="3494"/>
    <n v="2.7300000190000002"/>
    <n v="2.7300000190000002"/>
    <n v="0"/>
    <n v="0"/>
    <n v="0"/>
    <n v="2.6900000569999998"/>
    <n v="0"/>
    <n v="0"/>
    <n v="0"/>
    <n v="166"/>
    <n v="1274"/>
    <x v="119"/>
    <s v="Sedentary"/>
    <m/>
    <m/>
    <m/>
    <m/>
    <x v="0"/>
  </r>
  <r>
    <x v="32"/>
    <x v="21"/>
    <n v="8452"/>
    <n v="5.4099998469999999"/>
    <n v="5.4099998469999999"/>
    <n v="0"/>
    <n v="0.25999999000000001"/>
    <n v="0.38999998600000002"/>
    <n v="4.7600002290000001"/>
    <n v="0"/>
    <n v="9"/>
    <n v="24"/>
    <n v="328"/>
    <n v="1079"/>
    <x v="120"/>
    <s v="Moderately Active"/>
    <m/>
    <m/>
    <m/>
    <m/>
    <x v="0"/>
  </r>
  <r>
    <x v="33"/>
    <x v="21"/>
    <n v="27572"/>
    <n v="23.38999939"/>
    <n v="23.38999939"/>
    <n v="0"/>
    <n v="14.72000027"/>
    <n v="1.210000038"/>
    <n v="7.3400001530000001"/>
    <n v="0.01"/>
    <n v="116"/>
    <n v="24"/>
    <n v="260"/>
    <n v="1040"/>
    <x v="121"/>
    <s v="Active"/>
    <m/>
    <m/>
    <m/>
    <m/>
    <x v="0"/>
  </r>
  <r>
    <x v="2"/>
    <x v="22"/>
    <n v="10016"/>
    <n v="6.3699998860000004"/>
    <n v="6.3699998860000004"/>
    <n v="0"/>
    <n v="0.91000002599999996"/>
    <n v="1.2799999710000001"/>
    <n v="4.1799998279999997"/>
    <n v="0"/>
    <n v="15"/>
    <n v="30"/>
    <n v="314"/>
    <n v="655"/>
    <x v="122"/>
    <s v="Active"/>
    <m/>
    <m/>
    <m/>
    <m/>
    <x v="1"/>
  </r>
  <r>
    <x v="3"/>
    <x v="22"/>
    <n v="2910"/>
    <n v="1.8899999860000001"/>
    <n v="1.8899999860000001"/>
    <n v="0"/>
    <n v="0"/>
    <n v="0"/>
    <n v="1.8799999949999999"/>
    <n v="0.01"/>
    <n v="0"/>
    <n v="0"/>
    <n v="157"/>
    <n v="1283"/>
    <x v="123"/>
    <s v="Sedentary"/>
    <m/>
    <m/>
    <m/>
    <m/>
    <x v="1"/>
  </r>
  <r>
    <x v="11"/>
    <x v="22"/>
    <n v="12912"/>
    <n v="9.4099998469999999"/>
    <n v="9.4099998469999999"/>
    <n v="0"/>
    <n v="4.829999924"/>
    <n v="0.769999981"/>
    <n v="3.789999962"/>
    <n v="2.9999998999999999E-2"/>
    <n v="59"/>
    <n v="16"/>
    <n v="283"/>
    <n v="1082"/>
    <x v="124"/>
    <s v="Active"/>
    <m/>
    <m/>
    <m/>
    <m/>
    <x v="1"/>
  </r>
  <r>
    <x v="12"/>
    <x v="22"/>
    <n v="2841"/>
    <n v="1.8799999949999999"/>
    <n v="1.8799999949999999"/>
    <n v="0"/>
    <n v="0"/>
    <n v="0"/>
    <n v="1.8799999949999999"/>
    <n v="0"/>
    <n v="0"/>
    <n v="0"/>
    <n v="136"/>
    <n v="1114"/>
    <x v="125"/>
    <s v="Sedentary"/>
    <m/>
    <m/>
    <m/>
    <m/>
    <x v="1"/>
  </r>
  <r>
    <x v="13"/>
    <x v="22"/>
    <n v="3198"/>
    <n v="2.210000038"/>
    <n v="2.210000038"/>
    <n v="0"/>
    <n v="0"/>
    <n v="0"/>
    <n v="2.210000038"/>
    <n v="0"/>
    <n v="0"/>
    <n v="0"/>
    <n v="146"/>
    <n v="1183"/>
    <x v="126"/>
    <s v="Sedentary"/>
    <m/>
    <m/>
    <m/>
    <m/>
    <x v="1"/>
  </r>
  <r>
    <x v="14"/>
    <x v="22"/>
    <n v="11144"/>
    <n v="7.8200001720000003"/>
    <n v="7.8200001720000003"/>
    <n v="0"/>
    <n v="1.789999962"/>
    <n v="0.88999998599999997"/>
    <n v="5.1399998660000001"/>
    <n v="0"/>
    <n v="25"/>
    <n v="22"/>
    <n v="279"/>
    <n v="1114"/>
    <x v="127"/>
    <s v="Active"/>
    <m/>
    <m/>
    <m/>
    <m/>
    <x v="1"/>
  </r>
  <r>
    <x v="15"/>
    <x v="22"/>
    <n v="2308"/>
    <n v="1.4299999480000001"/>
    <n v="1.4299999480000001"/>
    <n v="0"/>
    <n v="0"/>
    <n v="0"/>
    <n v="1.4299999480000001"/>
    <n v="0"/>
    <n v="0"/>
    <n v="0"/>
    <n v="115"/>
    <n v="720"/>
    <x v="128"/>
    <s v="Sedentary"/>
    <m/>
    <m/>
    <m/>
    <m/>
    <x v="1"/>
  </r>
  <r>
    <x v="16"/>
    <x v="22"/>
    <n v="0"/>
    <n v="0"/>
    <n v="0"/>
    <n v="0"/>
    <n v="0"/>
    <n v="0"/>
    <n v="0"/>
    <n v="0"/>
    <n v="0"/>
    <n v="0"/>
    <n v="0"/>
    <n v="1440"/>
    <x v="71"/>
    <s v="Sedentary"/>
    <m/>
    <m/>
    <m/>
    <m/>
    <x v="1"/>
  </r>
  <r>
    <x v="4"/>
    <x v="22"/>
    <n v="7485"/>
    <n v="4.9499998090000004"/>
    <n v="4.9499998090000004"/>
    <n v="0"/>
    <n v="0"/>
    <n v="0"/>
    <n v="4.9499998090000004"/>
    <n v="0"/>
    <n v="0"/>
    <n v="0"/>
    <n v="324"/>
    <n v="491"/>
    <x v="129"/>
    <s v="Lightly Active"/>
    <m/>
    <m/>
    <m/>
    <m/>
    <x v="1"/>
  </r>
  <r>
    <x v="17"/>
    <x v="22"/>
    <n v="7640"/>
    <n v="5.1300001139999996"/>
    <n v="5.1300001139999996"/>
    <n v="0"/>
    <n v="0.189999998"/>
    <n v="0.80000001200000004"/>
    <n v="4.1500000950000002"/>
    <n v="0"/>
    <n v="3"/>
    <n v="15"/>
    <n v="315"/>
    <n v="1107"/>
    <x v="130"/>
    <s v="Moderately Active"/>
    <m/>
    <m/>
    <m/>
    <m/>
    <x v="1"/>
  </r>
  <r>
    <x v="5"/>
    <x v="22"/>
    <n v="0"/>
    <n v="0"/>
    <n v="0"/>
    <n v="0"/>
    <n v="0"/>
    <n v="0"/>
    <n v="0"/>
    <n v="0"/>
    <n v="0"/>
    <n v="0"/>
    <n v="0"/>
    <n v="1440"/>
    <x v="40"/>
    <s v="Sedentary"/>
    <m/>
    <m/>
    <m/>
    <m/>
    <x v="1"/>
  </r>
  <r>
    <x v="18"/>
    <x v="22"/>
    <n v="4706"/>
    <n v="3.210000038"/>
    <n v="3.210000038"/>
    <n v="0"/>
    <n v="0"/>
    <n v="0"/>
    <n v="3.210000038"/>
    <n v="0"/>
    <n v="0"/>
    <n v="0"/>
    <n v="299"/>
    <n v="1141"/>
    <x v="131"/>
    <s v="Sedentary"/>
    <m/>
    <m/>
    <m/>
    <m/>
    <x v="1"/>
  </r>
  <r>
    <x v="19"/>
    <x v="22"/>
    <n v="11508"/>
    <n v="7.6999998090000004"/>
    <n v="7.6999998090000004"/>
    <n v="0"/>
    <n v="2.170000076"/>
    <n v="0.83999997400000004"/>
    <n v="4.6900000569999998"/>
    <n v="0"/>
    <n v="29"/>
    <n v="22"/>
    <n v="282"/>
    <n v="748"/>
    <x v="132"/>
    <s v="Active"/>
    <m/>
    <m/>
    <m/>
    <m/>
    <x v="1"/>
  </r>
  <r>
    <x v="0"/>
    <x v="22"/>
    <n v="6107"/>
    <n v="4.3800001139999996"/>
    <n v="4.3800001139999996"/>
    <n v="0"/>
    <n v="0"/>
    <n v="0"/>
    <n v="4.3600001339999999"/>
    <n v="0"/>
    <n v="0"/>
    <n v="0"/>
    <n v="265"/>
    <n v="776"/>
    <x v="133"/>
    <s v="Lightly Active"/>
    <m/>
    <m/>
    <m/>
    <m/>
    <x v="1"/>
  </r>
  <r>
    <x v="1"/>
    <x v="22"/>
    <n v="0"/>
    <n v="0"/>
    <n v="0"/>
    <n v="0"/>
    <n v="0"/>
    <n v="0"/>
    <n v="0"/>
    <n v="0"/>
    <n v="0"/>
    <n v="0"/>
    <n v="0"/>
    <n v="1440"/>
    <x v="6"/>
    <s v="Sedentary"/>
    <m/>
    <m/>
    <m/>
    <m/>
    <x v="1"/>
  </r>
  <r>
    <x v="6"/>
    <x v="22"/>
    <n v="8223"/>
    <n v="5.5199999809999998"/>
    <n v="5.5199999809999998"/>
    <n v="0"/>
    <n v="0.80000001200000004"/>
    <n v="1.5099999900000001"/>
    <n v="3.210000038"/>
    <n v="0"/>
    <n v="12"/>
    <n v="37"/>
    <n v="257"/>
    <n v="551"/>
    <x v="134"/>
    <s v="Moderately Active"/>
    <m/>
    <m/>
    <m/>
    <m/>
    <x v="1"/>
  </r>
  <r>
    <x v="7"/>
    <x v="22"/>
    <n v="0"/>
    <n v="0"/>
    <n v="0"/>
    <n v="0"/>
    <n v="0"/>
    <n v="0"/>
    <n v="0"/>
    <n v="0"/>
    <n v="0"/>
    <n v="0"/>
    <n v="0"/>
    <n v="1440"/>
    <x v="44"/>
    <s v="Sedentary"/>
    <m/>
    <m/>
    <m/>
    <m/>
    <x v="1"/>
  </r>
  <r>
    <x v="8"/>
    <x v="22"/>
    <n v="3146"/>
    <n v="2.1099998950000001"/>
    <n v="2.1099998950000001"/>
    <n v="0"/>
    <n v="0"/>
    <n v="0"/>
    <n v="2.1099998950000001"/>
    <n v="0"/>
    <n v="0"/>
    <n v="0"/>
    <n v="171"/>
    <n v="1269"/>
    <x v="135"/>
    <s v="Sedentary"/>
    <m/>
    <m/>
    <m/>
    <m/>
    <x v="1"/>
  </r>
  <r>
    <x v="20"/>
    <x v="22"/>
    <n v="6176"/>
    <n v="4.079999924"/>
    <n v="4.079999924"/>
    <n v="0"/>
    <n v="7.0000000000000007E-2"/>
    <n v="0.25999999000000001"/>
    <n v="3.75"/>
    <n v="0"/>
    <n v="1"/>
    <n v="7"/>
    <n v="269"/>
    <n v="886"/>
    <x v="136"/>
    <s v="Lightly Active"/>
    <m/>
    <m/>
    <m/>
    <m/>
    <x v="1"/>
  </r>
  <r>
    <x v="9"/>
    <x v="22"/>
    <n v="12116"/>
    <n v="9.8299999239999991"/>
    <n v="9.8299999239999991"/>
    <n v="0"/>
    <n v="0.25"/>
    <n v="2.8499999049999998"/>
    <n v="6.7199997900000001"/>
    <n v="0"/>
    <n v="3"/>
    <n v="57"/>
    <n v="323"/>
    <n v="471"/>
    <x v="137"/>
    <s v="Active"/>
    <m/>
    <m/>
    <m/>
    <m/>
    <x v="1"/>
  </r>
  <r>
    <x v="21"/>
    <x v="22"/>
    <n v="1515"/>
    <n v="0.99000001000000004"/>
    <n v="0.99000001000000004"/>
    <n v="0"/>
    <n v="0"/>
    <n v="0"/>
    <n v="0.99000001000000004"/>
    <n v="0"/>
    <n v="0"/>
    <n v="0"/>
    <n v="93"/>
    <n v="507"/>
    <x v="138"/>
    <s v="Sedentary"/>
    <m/>
    <m/>
    <m/>
    <m/>
    <x v="1"/>
  </r>
  <r>
    <x v="22"/>
    <x v="22"/>
    <n v="9917"/>
    <n v="7.4099998469999999"/>
    <n v="7.4099998469999999"/>
    <n v="0"/>
    <n v="1.9900000099999999"/>
    <n v="0.97000002900000004"/>
    <n v="4.4400000569999998"/>
    <n v="0"/>
    <n v="58"/>
    <n v="27"/>
    <n v="240"/>
    <n v="700"/>
    <x v="139"/>
    <s v="Moderately Active"/>
    <m/>
    <m/>
    <m/>
    <m/>
    <x v="1"/>
  </r>
  <r>
    <x v="23"/>
    <x v="22"/>
    <n v="0"/>
    <n v="0"/>
    <n v="0"/>
    <n v="0"/>
    <n v="0"/>
    <n v="0"/>
    <n v="0"/>
    <n v="0"/>
    <n v="0"/>
    <n v="0"/>
    <n v="0"/>
    <n v="1440"/>
    <x v="140"/>
    <s v="Sedentary"/>
    <m/>
    <m/>
    <m/>
    <m/>
    <x v="1"/>
  </r>
  <r>
    <x v="24"/>
    <x v="22"/>
    <n v="0"/>
    <n v="0"/>
    <n v="0"/>
    <n v="0"/>
    <n v="0"/>
    <n v="0"/>
    <n v="0"/>
    <n v="0"/>
    <n v="33"/>
    <n v="0"/>
    <n v="0"/>
    <n v="1407"/>
    <x v="141"/>
    <s v="Sedentary"/>
    <m/>
    <m/>
    <m/>
    <m/>
    <x v="1"/>
  </r>
  <r>
    <x v="25"/>
    <x v="22"/>
    <n v="0"/>
    <n v="0"/>
    <n v="0"/>
    <n v="0"/>
    <n v="0"/>
    <n v="0"/>
    <n v="0"/>
    <n v="0"/>
    <n v="0"/>
    <n v="0"/>
    <n v="0"/>
    <n v="1440"/>
    <x v="47"/>
    <s v="Sedentary"/>
    <m/>
    <m/>
    <m/>
    <m/>
    <x v="1"/>
  </r>
  <r>
    <x v="26"/>
    <x v="22"/>
    <n v="1577"/>
    <n v="1.1299999949999999"/>
    <n v="1.1299999949999999"/>
    <n v="0"/>
    <n v="7.0000000000000007E-2"/>
    <n v="0.88999998599999997"/>
    <n v="0.17000000200000001"/>
    <n v="0"/>
    <n v="1"/>
    <n v="17"/>
    <n v="8"/>
    <n v="1414"/>
    <x v="142"/>
    <s v="Sedentary"/>
    <m/>
    <m/>
    <m/>
    <m/>
    <x v="1"/>
  </r>
  <r>
    <x v="10"/>
    <x v="22"/>
    <n v="12307"/>
    <n v="8.1400003430000005"/>
    <n v="8.1400003430000005"/>
    <n v="0"/>
    <n v="1.0099999900000001"/>
    <n v="3.2599999899999998"/>
    <n v="3.869999886"/>
    <n v="0"/>
    <n v="14"/>
    <n v="51"/>
    <n v="218"/>
    <n v="589"/>
    <x v="143"/>
    <s v="Active"/>
    <m/>
    <m/>
    <m/>
    <m/>
    <x v="1"/>
  </r>
  <r>
    <x v="27"/>
    <x v="22"/>
    <n v="16806"/>
    <n v="11.239999770000001"/>
    <n v="11.239999770000001"/>
    <n v="0"/>
    <n v="6.4099998469999999"/>
    <n v="1.3700000050000001"/>
    <n v="3.4700000289999999"/>
    <n v="0"/>
    <n v="104"/>
    <n v="31"/>
    <n v="230"/>
    <n v="1002"/>
    <x v="144"/>
    <s v="Active"/>
    <m/>
    <m/>
    <m/>
    <m/>
    <x v="1"/>
  </r>
  <r>
    <x v="28"/>
    <x v="22"/>
    <n v="1949"/>
    <n v="1.309999943"/>
    <n v="1.309999943"/>
    <n v="0"/>
    <n v="0.23000000400000001"/>
    <n v="0.34999999399999998"/>
    <n v="0.730000019"/>
    <n v="0"/>
    <n v="3"/>
    <n v="6"/>
    <n v="27"/>
    <n v="1404"/>
    <x v="145"/>
    <s v="Sedentary"/>
    <m/>
    <m/>
    <m/>
    <m/>
    <x v="1"/>
  </r>
  <r>
    <x v="34"/>
    <x v="22"/>
    <n v="25701"/>
    <n v="20.13999939"/>
    <n v="20.13999939"/>
    <n v="0"/>
    <n v="16.81999969"/>
    <n v="1.6299999949999999"/>
    <n v="1.690000057"/>
    <n v="0"/>
    <n v="165"/>
    <n v="36"/>
    <n v="97"/>
    <n v="1142"/>
    <x v="146"/>
    <s v="Active"/>
    <m/>
    <m/>
    <m/>
    <m/>
    <x v="1"/>
  </r>
  <r>
    <x v="29"/>
    <x v="22"/>
    <n v="0"/>
    <n v="0"/>
    <n v="0"/>
    <n v="0"/>
    <n v="0"/>
    <n v="0"/>
    <n v="0"/>
    <n v="0"/>
    <n v="0"/>
    <n v="0"/>
    <n v="0"/>
    <n v="1440"/>
    <x v="89"/>
    <s v="Sedentary"/>
    <m/>
    <m/>
    <m/>
    <m/>
    <x v="1"/>
  </r>
  <r>
    <x v="30"/>
    <x v="22"/>
    <n v="9152"/>
    <n v="7.2600002290000001"/>
    <n v="7.2600002290000001"/>
    <n v="0"/>
    <n v="1.9900000099999999"/>
    <n v="0.81999999300000004"/>
    <n v="4.4499998090000004"/>
    <n v="0"/>
    <n v="25"/>
    <n v="13"/>
    <n v="243"/>
    <n v="600"/>
    <x v="147"/>
    <s v="Moderately Active"/>
    <m/>
    <m/>
    <m/>
    <m/>
    <x v="1"/>
  </r>
  <r>
    <x v="31"/>
    <x v="22"/>
    <n v="2380"/>
    <n v="1.8600000139999999"/>
    <n v="1.8600000139999999"/>
    <n v="0"/>
    <n v="0"/>
    <n v="0"/>
    <n v="1.8600000139999999"/>
    <n v="0"/>
    <n v="0"/>
    <n v="0"/>
    <n v="131"/>
    <n v="1309"/>
    <x v="148"/>
    <s v="Sedentary"/>
    <m/>
    <m/>
    <m/>
    <m/>
    <x v="1"/>
  </r>
  <r>
    <x v="32"/>
    <x v="22"/>
    <n v="7238"/>
    <n v="4.6300001139999996"/>
    <n v="4.6300001139999996"/>
    <n v="0"/>
    <n v="0.109999999"/>
    <n v="0.23000000400000001"/>
    <n v="4.2899999619999996"/>
    <n v="0"/>
    <n v="2"/>
    <n v="6"/>
    <n v="279"/>
    <n v="636"/>
    <x v="149"/>
    <s v="Lightly Active"/>
    <m/>
    <m/>
    <m/>
    <m/>
    <x v="1"/>
  </r>
  <r>
    <x v="33"/>
    <x v="22"/>
    <n v="15260"/>
    <n v="8.1899995800000003"/>
    <n v="8.1899995800000003"/>
    <n v="0"/>
    <n v="1.7999999520000001"/>
    <n v="0.75"/>
    <n v="5.5700001720000003"/>
    <n v="0"/>
    <n v="106"/>
    <n v="17"/>
    <n v="259"/>
    <n v="1058"/>
    <x v="150"/>
    <s v="Active"/>
    <m/>
    <m/>
    <m/>
    <m/>
    <x v="1"/>
  </r>
  <r>
    <x v="2"/>
    <x v="23"/>
    <n v="14557"/>
    <n v="9.8000001910000005"/>
    <n v="9.8000001910000005"/>
    <n v="0"/>
    <n v="3.3900001049999999"/>
    <n v="0.69999998799999996"/>
    <n v="5.6900000569999998"/>
    <n v="0"/>
    <n v="43"/>
    <n v="18"/>
    <n v="285"/>
    <n v="757"/>
    <x v="151"/>
    <s v="Active"/>
    <m/>
    <m/>
    <m/>
    <m/>
    <x v="2"/>
  </r>
  <r>
    <x v="3"/>
    <x v="23"/>
    <n v="18464"/>
    <n v="12"/>
    <n v="12"/>
    <n v="0"/>
    <n v="0"/>
    <n v="0"/>
    <n v="12"/>
    <n v="0"/>
    <n v="0"/>
    <n v="0"/>
    <n v="270"/>
    <n v="1170"/>
    <x v="152"/>
    <s v="Active"/>
    <m/>
    <m/>
    <m/>
    <m/>
    <x v="2"/>
  </r>
  <r>
    <x v="11"/>
    <x v="23"/>
    <n v="2819"/>
    <n v="2.0499999519999998"/>
    <n v="2.0499999519999998"/>
    <n v="0"/>
    <n v="0.310000002"/>
    <n v="0.17000000200000001"/>
    <n v="1.559999943"/>
    <n v="0.01"/>
    <n v="4"/>
    <n v="4"/>
    <n v="87"/>
    <n v="1345"/>
    <x v="153"/>
    <s v="Sedentary"/>
    <m/>
    <m/>
    <m/>
    <m/>
    <x v="2"/>
  </r>
  <r>
    <x v="12"/>
    <x v="23"/>
    <n v="0"/>
    <n v="0"/>
    <n v="0"/>
    <n v="0"/>
    <n v="0"/>
    <n v="0"/>
    <n v="0"/>
    <n v="0"/>
    <n v="0"/>
    <n v="0"/>
    <n v="0"/>
    <n v="669"/>
    <x v="154"/>
    <s v="Sedentary"/>
    <m/>
    <m/>
    <m/>
    <m/>
    <x v="2"/>
  </r>
  <r>
    <x v="13"/>
    <x v="23"/>
    <n v="2352"/>
    <n v="1.6299999949999999"/>
    <n v="1.6299999949999999"/>
    <n v="0"/>
    <n v="0"/>
    <n v="0"/>
    <n v="1.6299999949999999"/>
    <n v="0"/>
    <n v="0"/>
    <n v="0"/>
    <n v="128"/>
    <n v="829"/>
    <x v="155"/>
    <s v="Sedentary"/>
    <m/>
    <m/>
    <m/>
    <m/>
    <x v="2"/>
  </r>
  <r>
    <x v="14"/>
    <x v="23"/>
    <n v="15313"/>
    <n v="11"/>
    <n v="11"/>
    <n v="0"/>
    <n v="5.0199999809999998"/>
    <n v="1.289999962"/>
    <n v="4.6900000569999998"/>
    <n v="0"/>
    <n v="62"/>
    <n v="19"/>
    <n v="233"/>
    <n v="1126"/>
    <x v="156"/>
    <s v="Active"/>
    <m/>
    <m/>
    <m/>
    <m/>
    <x v="2"/>
  </r>
  <r>
    <x v="15"/>
    <x v="23"/>
    <n v="6679"/>
    <n v="4.1399998660000001"/>
    <n v="4.1399998660000001"/>
    <n v="0"/>
    <n v="0"/>
    <n v="0"/>
    <n v="4.1399998660000001"/>
    <n v="0"/>
    <n v="0"/>
    <n v="0"/>
    <n v="263"/>
    <n v="644"/>
    <x v="157"/>
    <s v="Lightly Active"/>
    <m/>
    <m/>
    <m/>
    <m/>
    <x v="2"/>
  </r>
  <r>
    <x v="16"/>
    <x v="23"/>
    <n v="0"/>
    <n v="0"/>
    <n v="0"/>
    <n v="0"/>
    <n v="0"/>
    <n v="0"/>
    <n v="0"/>
    <n v="0"/>
    <n v="0"/>
    <n v="0"/>
    <n v="0"/>
    <n v="1440"/>
    <x v="71"/>
    <s v="Sedentary"/>
    <m/>
    <m/>
    <m/>
    <m/>
    <x v="2"/>
  </r>
  <r>
    <x v="4"/>
    <x v="23"/>
    <n v="10254"/>
    <n v="6.8000001909999996"/>
    <n v="6.8000001909999996"/>
    <n v="0"/>
    <n v="1.4199999569999999"/>
    <n v="1.230000019"/>
    <n v="4.1599998469999999"/>
    <n v="0"/>
    <n v="21"/>
    <n v="25"/>
    <n v="231"/>
    <n v="638"/>
    <x v="158"/>
    <s v="Active"/>
    <m/>
    <m/>
    <m/>
    <m/>
    <x v="2"/>
  </r>
  <r>
    <x v="17"/>
    <x v="23"/>
    <n v="9713"/>
    <n v="6.5300002099999999"/>
    <n v="6.5300002099999999"/>
    <n v="0"/>
    <n v="0.34000000400000002"/>
    <n v="0.88999998599999997"/>
    <n v="5.2899999619999996"/>
    <n v="0"/>
    <n v="6"/>
    <n v="24"/>
    <n v="355"/>
    <n v="1055"/>
    <x v="159"/>
    <s v="Moderately Active"/>
    <m/>
    <m/>
    <m/>
    <m/>
    <x v="2"/>
  </r>
  <r>
    <x v="5"/>
    <x v="23"/>
    <n v="0"/>
    <n v="0"/>
    <n v="0"/>
    <n v="0"/>
    <n v="0"/>
    <n v="0"/>
    <n v="0"/>
    <n v="0"/>
    <n v="0"/>
    <n v="0"/>
    <n v="0"/>
    <n v="1440"/>
    <x v="40"/>
    <s v="Sedentary"/>
    <m/>
    <m/>
    <m/>
    <m/>
    <x v="2"/>
  </r>
  <r>
    <x v="18"/>
    <x v="23"/>
    <n v="5861"/>
    <n v="4.0199999809999998"/>
    <n v="4.0199999809999998"/>
    <n v="0"/>
    <n v="1.2999999520000001"/>
    <n v="0.219999999"/>
    <n v="2.4900000100000002"/>
    <n v="0.01"/>
    <n v="20"/>
    <n v="7"/>
    <n v="233"/>
    <n v="1180"/>
    <x v="44"/>
    <s v="Lightly Active"/>
    <m/>
    <m/>
    <m/>
    <m/>
    <x v="2"/>
  </r>
  <r>
    <x v="19"/>
    <x v="23"/>
    <n v="11943"/>
    <n v="7.9899997709999999"/>
    <n v="7.9899997709999999"/>
    <n v="0"/>
    <n v="1.0299999710000001"/>
    <n v="2.0099999899999998"/>
    <n v="4.9499998090000004"/>
    <n v="0"/>
    <n v="16"/>
    <n v="43"/>
    <n v="297"/>
    <n v="710"/>
    <x v="160"/>
    <s v="Active"/>
    <m/>
    <m/>
    <m/>
    <m/>
    <x v="2"/>
  </r>
  <r>
    <x v="0"/>
    <x v="23"/>
    <n v="6429"/>
    <n v="4.5999999049999998"/>
    <n v="4.5999999049999998"/>
    <n v="0"/>
    <n v="0"/>
    <n v="0.94999998799999996"/>
    <n v="3.6500000950000002"/>
    <n v="0"/>
    <n v="0"/>
    <n v="28"/>
    <n v="193"/>
    <n v="741"/>
    <x v="161"/>
    <s v="Lightly Active"/>
    <m/>
    <m/>
    <m/>
    <m/>
    <x v="2"/>
  </r>
  <r>
    <x v="1"/>
    <x v="23"/>
    <n v="0"/>
    <n v="0"/>
    <n v="0"/>
    <n v="0"/>
    <n v="0"/>
    <n v="0"/>
    <n v="0"/>
    <n v="0"/>
    <n v="0"/>
    <n v="0"/>
    <n v="0"/>
    <n v="1440"/>
    <x v="6"/>
    <s v="Sedentary"/>
    <m/>
    <m/>
    <m/>
    <m/>
    <x v="2"/>
  </r>
  <r>
    <x v="6"/>
    <x v="23"/>
    <n v="10067"/>
    <n v="6.7600002290000001"/>
    <n v="6.7600002290000001"/>
    <n v="0"/>
    <n v="0.36000001399999998"/>
    <n v="1.4199999569999999"/>
    <n v="4.9699997900000001"/>
    <n v="0"/>
    <n v="5"/>
    <n v="39"/>
    <n v="313"/>
    <n v="578"/>
    <x v="162"/>
    <s v="Active"/>
    <m/>
    <m/>
    <m/>
    <m/>
    <x v="2"/>
  </r>
  <r>
    <x v="7"/>
    <x v="23"/>
    <n v="0"/>
    <n v="0"/>
    <n v="0"/>
    <n v="0"/>
    <n v="0"/>
    <n v="0"/>
    <n v="0"/>
    <n v="0"/>
    <n v="0"/>
    <n v="0"/>
    <n v="0"/>
    <n v="1440"/>
    <x v="44"/>
    <s v="Sedentary"/>
    <m/>
    <m/>
    <m/>
    <m/>
    <x v="2"/>
  </r>
  <r>
    <x v="8"/>
    <x v="23"/>
    <n v="2422"/>
    <n v="1.6299999949999999"/>
    <n v="1.6299999949999999"/>
    <n v="0"/>
    <n v="0"/>
    <n v="0"/>
    <n v="1.6299999949999999"/>
    <n v="0"/>
    <n v="0"/>
    <n v="0"/>
    <n v="110"/>
    <n v="1330"/>
    <x v="8"/>
    <s v="Sedentary"/>
    <m/>
    <m/>
    <m/>
    <m/>
    <x v="2"/>
  </r>
  <r>
    <x v="20"/>
    <x v="23"/>
    <n v="8205"/>
    <n v="5.420000076"/>
    <n v="5.420000076"/>
    <n v="0"/>
    <n v="0"/>
    <n v="0"/>
    <n v="5.420000076"/>
    <n v="0"/>
    <n v="0"/>
    <n v="0"/>
    <n v="367"/>
    <n v="1073"/>
    <x v="163"/>
    <s v="Moderately Active"/>
    <m/>
    <m/>
    <m/>
    <m/>
    <x v="2"/>
  </r>
  <r>
    <x v="9"/>
    <x v="23"/>
    <n v="7810"/>
    <n v="6.3600001339999999"/>
    <n v="6.3600001339999999"/>
    <n v="0"/>
    <n v="0.47999998900000002"/>
    <n v="1.2000000479999999"/>
    <n v="4.6799998279999997"/>
    <n v="0"/>
    <n v="6"/>
    <n v="27"/>
    <n v="216"/>
    <n v="746"/>
    <x v="164"/>
    <s v="Moderately Active"/>
    <m/>
    <m/>
    <m/>
    <m/>
    <x v="2"/>
  </r>
  <r>
    <x v="21"/>
    <x v="23"/>
    <n v="8921"/>
    <n v="5.8800001139999996"/>
    <n v="5.8800001139999996"/>
    <n v="0"/>
    <n v="2.0699999330000001"/>
    <n v="0.439999998"/>
    <n v="3.3599998950000001"/>
    <n v="0"/>
    <n v="27"/>
    <n v="8"/>
    <n v="198"/>
    <n v="754"/>
    <x v="165"/>
    <s v="Moderately Active"/>
    <m/>
    <m/>
    <m/>
    <m/>
    <x v="2"/>
  </r>
  <r>
    <x v="22"/>
    <x v="23"/>
    <n v="7401"/>
    <n v="5.5599999430000002"/>
    <n v="5.5599999430000002"/>
    <n v="0"/>
    <n v="2.3199999330000001"/>
    <n v="0.36000001399999998"/>
    <n v="2.880000114"/>
    <n v="0"/>
    <n v="70"/>
    <n v="19"/>
    <n v="204"/>
    <n v="689"/>
    <x v="166"/>
    <s v="Lightly Active"/>
    <m/>
    <m/>
    <m/>
    <m/>
    <x v="2"/>
  </r>
  <r>
    <x v="23"/>
    <x v="23"/>
    <n v="8468"/>
    <n v="6.3899998660000001"/>
    <n v="6.3899998660000001"/>
    <n v="0"/>
    <n v="0.18000000699999999"/>
    <n v="0.63999998599999997"/>
    <n v="5.5700001720000003"/>
    <n v="0"/>
    <n v="2"/>
    <n v="11"/>
    <n v="279"/>
    <n v="1148"/>
    <x v="167"/>
    <s v="Moderately Active"/>
    <m/>
    <m/>
    <m/>
    <m/>
    <x v="2"/>
  </r>
  <r>
    <x v="24"/>
    <x v="23"/>
    <n v="0"/>
    <n v="0"/>
    <n v="0"/>
    <n v="0"/>
    <n v="0"/>
    <n v="0"/>
    <n v="0"/>
    <n v="0"/>
    <n v="0"/>
    <n v="0"/>
    <n v="0"/>
    <n v="1440"/>
    <x v="168"/>
    <s v="Sedentary"/>
    <m/>
    <m/>
    <m/>
    <m/>
    <x v="2"/>
  </r>
  <r>
    <x v="25"/>
    <x v="23"/>
    <n v="0"/>
    <n v="0"/>
    <n v="0"/>
    <n v="0"/>
    <n v="0"/>
    <n v="0"/>
    <n v="0"/>
    <n v="0"/>
    <n v="0"/>
    <n v="0"/>
    <n v="0"/>
    <n v="1440"/>
    <x v="47"/>
    <s v="Sedentary"/>
    <m/>
    <m/>
    <m/>
    <m/>
    <x v="2"/>
  </r>
  <r>
    <x v="26"/>
    <x v="23"/>
    <n v="0"/>
    <n v="0"/>
    <n v="0"/>
    <n v="0"/>
    <n v="0"/>
    <n v="0"/>
    <n v="0"/>
    <n v="0"/>
    <n v="0"/>
    <n v="0"/>
    <n v="0"/>
    <n v="1440"/>
    <x v="169"/>
    <s v="Sedentary"/>
    <m/>
    <m/>
    <m/>
    <m/>
    <x v="2"/>
  </r>
  <r>
    <x v="10"/>
    <x v="23"/>
    <n v="18952"/>
    <n v="12.80000019"/>
    <n v="12.80000019"/>
    <n v="0"/>
    <n v="5.9099998469999999"/>
    <n v="1.230000019"/>
    <n v="5.6599998469999999"/>
    <n v="0"/>
    <n v="73"/>
    <n v="20"/>
    <n v="327"/>
    <n v="570"/>
    <x v="170"/>
    <s v="Active"/>
    <m/>
    <m/>
    <m/>
    <m/>
    <x v="2"/>
  </r>
  <r>
    <x v="27"/>
    <x v="23"/>
    <n v="15266"/>
    <n v="11.399999619999999"/>
    <n v="10.210000040000001"/>
    <n v="5.1898498540000002"/>
    <n v="5.8000001909999996"/>
    <n v="0.75999998999999996"/>
    <n v="4.7899999619999996"/>
    <n v="5.0000001000000002E-2"/>
    <n v="70"/>
    <n v="21"/>
    <n v="292"/>
    <n v="1057"/>
    <x v="46"/>
    <s v="Active"/>
    <m/>
    <m/>
    <m/>
    <m/>
    <x v="2"/>
  </r>
  <r>
    <x v="28"/>
    <x v="23"/>
    <n v="6101"/>
    <n v="3.869999886"/>
    <n v="3.869999886"/>
    <n v="0"/>
    <n v="0.52999997099999996"/>
    <n v="0.23000000400000001"/>
    <n v="3.0999999049999998"/>
    <n v="0"/>
    <n v="31"/>
    <n v="24"/>
    <n v="138"/>
    <n v="1247"/>
    <x v="171"/>
    <s v="Lightly Active"/>
    <m/>
    <m/>
    <m/>
    <m/>
    <x v="2"/>
  </r>
  <r>
    <x v="34"/>
    <x v="23"/>
    <n v="17395"/>
    <n v="13.210000040000001"/>
    <n v="13.210000040000001"/>
    <n v="0"/>
    <n v="9.6700000760000009"/>
    <n v="0.18000000699999999"/>
    <n v="3.3499999049999998"/>
    <n v="0"/>
    <n v="100"/>
    <n v="4"/>
    <n v="213"/>
    <n v="1123"/>
    <x v="172"/>
    <s v="Active"/>
    <m/>
    <m/>
    <m/>
    <m/>
    <x v="2"/>
  </r>
  <r>
    <x v="29"/>
    <x v="23"/>
    <n v="0"/>
    <n v="0"/>
    <n v="0"/>
    <n v="0"/>
    <n v="0"/>
    <n v="0"/>
    <n v="0"/>
    <n v="0"/>
    <n v="0"/>
    <n v="0"/>
    <n v="0"/>
    <n v="1440"/>
    <x v="89"/>
    <s v="Sedentary"/>
    <m/>
    <m/>
    <m/>
    <m/>
    <x v="2"/>
  </r>
  <r>
    <x v="30"/>
    <x v="23"/>
    <n v="13935"/>
    <n v="11.05000019"/>
    <n v="11.05000019"/>
    <n v="2.0921471120000001"/>
    <n v="4.0900001530000001"/>
    <n v="0.790000021"/>
    <n v="6.170000076"/>
    <n v="0"/>
    <n v="105"/>
    <n v="16"/>
    <n v="220"/>
    <n v="658"/>
    <x v="173"/>
    <s v="Active"/>
    <m/>
    <m/>
    <m/>
    <m/>
    <x v="2"/>
  </r>
  <r>
    <x v="31"/>
    <x v="23"/>
    <n v="3159"/>
    <n v="2.460000038"/>
    <n v="2.460000038"/>
    <n v="0"/>
    <n v="0"/>
    <n v="0"/>
    <n v="2.460000038"/>
    <n v="0"/>
    <n v="0"/>
    <n v="0"/>
    <n v="147"/>
    <n v="1293"/>
    <x v="174"/>
    <s v="Sedentary"/>
    <m/>
    <m/>
    <m/>
    <m/>
    <x v="2"/>
  </r>
  <r>
    <x v="32"/>
    <x v="23"/>
    <n v="3821"/>
    <n v="2.4500000480000002"/>
    <n v="2.4500000480000002"/>
    <n v="0"/>
    <n v="0"/>
    <n v="0.219999999"/>
    <n v="2.2300000190000002"/>
    <n v="0"/>
    <n v="0"/>
    <n v="9"/>
    <n v="161"/>
    <n v="675"/>
    <x v="175"/>
    <s v="Sedentary"/>
    <m/>
    <m/>
    <m/>
    <m/>
    <x v="2"/>
  </r>
  <r>
    <x v="33"/>
    <x v="23"/>
    <n v="20779"/>
    <n v="18.409999849999998"/>
    <n v="18.409999849999998"/>
    <n v="0"/>
    <n v="11.72999954"/>
    <n v="0.64999997600000003"/>
    <n v="6"/>
    <n v="0"/>
    <n v="78"/>
    <n v="16"/>
    <n v="208"/>
    <n v="1138"/>
    <x v="176"/>
    <s v="Active"/>
    <m/>
    <m/>
    <m/>
    <m/>
    <x v="2"/>
  </r>
  <r>
    <x v="2"/>
    <x v="24"/>
    <n v="14844"/>
    <n v="9.7299995419999998"/>
    <n v="9.7299995419999998"/>
    <n v="0"/>
    <n v="2.9400000569999998"/>
    <n v="0.75999998999999996"/>
    <n v="6.0399999619999996"/>
    <n v="0"/>
    <n v="36"/>
    <n v="18"/>
    <n v="341"/>
    <n v="736"/>
    <x v="177"/>
    <s v="Active"/>
    <m/>
    <m/>
    <m/>
    <m/>
    <x v="3"/>
  </r>
  <r>
    <x v="3"/>
    <x v="24"/>
    <n v="1335"/>
    <n v="0.87000000499999997"/>
    <n v="0.87000000499999997"/>
    <n v="0"/>
    <n v="0"/>
    <n v="0"/>
    <n v="0.87000000499999997"/>
    <n v="0"/>
    <n v="0"/>
    <n v="0"/>
    <n v="74"/>
    <n v="1366"/>
    <x v="178"/>
    <s v="Sedentary"/>
    <m/>
    <m/>
    <m/>
    <m/>
    <x v="3"/>
  </r>
  <r>
    <x v="11"/>
    <x v="24"/>
    <n v="9921"/>
    <n v="7.2100000380000004"/>
    <n v="7.2100000380000004"/>
    <n v="0"/>
    <n v="0.34000000400000002"/>
    <n v="1.519999981"/>
    <n v="5.3600001339999999"/>
    <n v="0"/>
    <n v="5"/>
    <n v="35"/>
    <n v="219"/>
    <n v="1181"/>
    <x v="179"/>
    <s v="Moderately Active"/>
    <m/>
    <m/>
    <m/>
    <m/>
    <x v="3"/>
  </r>
  <r>
    <x v="12"/>
    <x v="24"/>
    <n v="0"/>
    <n v="0"/>
    <n v="0"/>
    <n v="0"/>
    <n v="0"/>
    <n v="0"/>
    <n v="0"/>
    <n v="0"/>
    <n v="0"/>
    <n v="0"/>
    <n v="0"/>
    <n v="1440"/>
    <x v="154"/>
    <s v="Sedentary"/>
    <m/>
    <m/>
    <m/>
    <m/>
    <x v="3"/>
  </r>
  <r>
    <x v="13"/>
    <x v="24"/>
    <n v="2234"/>
    <n v="1.5499999520000001"/>
    <n v="1.5499999520000001"/>
    <n v="0"/>
    <n v="0"/>
    <n v="0"/>
    <n v="1.5499999520000001"/>
    <n v="0"/>
    <n v="0"/>
    <n v="0"/>
    <n v="108"/>
    <n v="912"/>
    <x v="180"/>
    <s v="Sedentary"/>
    <m/>
    <m/>
    <m/>
    <m/>
    <x v="3"/>
  </r>
  <r>
    <x v="14"/>
    <x v="24"/>
    <n v="10805"/>
    <n v="7.5900001530000001"/>
    <n v="7.5900001530000001"/>
    <n v="0"/>
    <n v="0.72000002900000004"/>
    <n v="0.980000019"/>
    <n v="5.8899998660000001"/>
    <n v="0"/>
    <n v="36"/>
    <n v="37"/>
    <n v="298"/>
    <n v="1069"/>
    <x v="181"/>
    <s v="Active"/>
    <m/>
    <m/>
    <m/>
    <m/>
    <x v="3"/>
  </r>
  <r>
    <x v="15"/>
    <x v="24"/>
    <n v="5645"/>
    <n v="3.5"/>
    <n v="3.5"/>
    <n v="0"/>
    <n v="0"/>
    <n v="0"/>
    <n v="3.5"/>
    <n v="0"/>
    <n v="0"/>
    <n v="0"/>
    <n v="248"/>
    <n v="621"/>
    <x v="182"/>
    <s v="Lightly Active"/>
    <m/>
    <m/>
    <m/>
    <m/>
    <x v="3"/>
  </r>
  <r>
    <x v="16"/>
    <x v="24"/>
    <n v="4931"/>
    <n v="3.3199999330000001"/>
    <n v="3.3199999330000001"/>
    <n v="0"/>
    <n v="0"/>
    <n v="0"/>
    <n v="3.3199999330000001"/>
    <n v="0"/>
    <n v="0"/>
    <n v="0"/>
    <n v="175"/>
    <n v="1265"/>
    <x v="183"/>
    <s v="Sedentary"/>
    <m/>
    <m/>
    <m/>
    <m/>
    <x v="3"/>
  </r>
  <r>
    <x v="4"/>
    <x v="24"/>
    <n v="10114"/>
    <n v="6.8200001720000003"/>
    <n v="6.8200001720000003"/>
    <n v="0"/>
    <n v="1.6399999860000001"/>
    <n v="0.47999998900000002"/>
    <n v="4.6799998279999997"/>
    <n v="0"/>
    <n v="18"/>
    <n v="9"/>
    <n v="269"/>
    <n v="696"/>
    <x v="184"/>
    <s v="Active"/>
    <m/>
    <m/>
    <m/>
    <m/>
    <x v="3"/>
  </r>
  <r>
    <x v="17"/>
    <x v="24"/>
    <n v="8432"/>
    <n v="5.670000076"/>
    <n v="5.670000076"/>
    <n v="0"/>
    <n v="0"/>
    <n v="0"/>
    <n v="5.6500000950000002"/>
    <n v="0.01"/>
    <n v="0"/>
    <n v="0"/>
    <n v="374"/>
    <n v="1066"/>
    <x v="185"/>
    <s v="Moderately Active"/>
    <m/>
    <m/>
    <m/>
    <m/>
    <x v="3"/>
  </r>
  <r>
    <x v="5"/>
    <x v="24"/>
    <n v="2063"/>
    <n v="1.6100000139999999"/>
    <n v="0"/>
    <n v="1.6093440059999999"/>
    <n v="0"/>
    <n v="0"/>
    <n v="1.6100000139999999"/>
    <n v="0"/>
    <n v="0"/>
    <n v="0"/>
    <n v="630"/>
    <n v="99"/>
    <x v="186"/>
    <s v="Sedentary"/>
    <m/>
    <m/>
    <m/>
    <m/>
    <x v="3"/>
  </r>
  <r>
    <x v="18"/>
    <x v="24"/>
    <n v="4460"/>
    <n v="3.039999962"/>
    <n v="3.039999962"/>
    <n v="0"/>
    <n v="0"/>
    <n v="0"/>
    <n v="3.0199999809999998"/>
    <n v="2.9999998999999999E-2"/>
    <n v="0"/>
    <n v="0"/>
    <n v="248"/>
    <n v="1192"/>
    <x v="22"/>
    <s v="Sedentary"/>
    <m/>
    <m/>
    <m/>
    <m/>
    <x v="3"/>
  </r>
  <r>
    <x v="19"/>
    <x v="24"/>
    <n v="12303"/>
    <n v="8.2299995419999998"/>
    <n v="8.2299995419999998"/>
    <n v="0"/>
    <n v="1.710000038"/>
    <n v="1.3500000240000001"/>
    <n v="5.170000076"/>
    <n v="0"/>
    <n v="26"/>
    <n v="32"/>
    <n v="291"/>
    <n v="605"/>
    <x v="187"/>
    <s v="Active"/>
    <m/>
    <m/>
    <m/>
    <m/>
    <x v="3"/>
  </r>
  <r>
    <x v="0"/>
    <x v="24"/>
    <n v="6880"/>
    <n v="4.9299998279999997"/>
    <n v="4.9299998279999997"/>
    <n v="0"/>
    <n v="0.5"/>
    <n v="0.75999998999999996"/>
    <n v="3.6500000950000002"/>
    <n v="0"/>
    <n v="7"/>
    <n v="19"/>
    <n v="165"/>
    <n v="1249"/>
    <x v="188"/>
    <s v="Lightly Active"/>
    <m/>
    <m/>
    <m/>
    <m/>
    <x v="3"/>
  </r>
  <r>
    <x v="1"/>
    <x v="24"/>
    <n v="0"/>
    <n v="0"/>
    <n v="0"/>
    <n v="0"/>
    <n v="0"/>
    <n v="0"/>
    <n v="0"/>
    <n v="0"/>
    <n v="0"/>
    <n v="0"/>
    <n v="0"/>
    <n v="1440"/>
    <x v="6"/>
    <s v="Sedentary"/>
    <m/>
    <m/>
    <m/>
    <m/>
    <x v="3"/>
  </r>
  <r>
    <x v="6"/>
    <x v="24"/>
    <n v="8359"/>
    <n v="5.6300001139999996"/>
    <n v="5.6300001139999996"/>
    <n v="0"/>
    <n v="0.23000000400000001"/>
    <n v="0.52999997099999996"/>
    <n v="4.8699998860000004"/>
    <n v="0"/>
    <n v="3"/>
    <n v="14"/>
    <n v="311"/>
    <n v="638"/>
    <x v="189"/>
    <s v="Moderately Active"/>
    <m/>
    <m/>
    <m/>
    <m/>
    <x v="3"/>
  </r>
  <r>
    <x v="7"/>
    <x v="24"/>
    <n v="0"/>
    <n v="0"/>
    <n v="0"/>
    <n v="0"/>
    <n v="0"/>
    <n v="0"/>
    <n v="0"/>
    <n v="0"/>
    <n v="0"/>
    <n v="0"/>
    <n v="0"/>
    <n v="994"/>
    <x v="190"/>
    <s v="Sedentary"/>
    <m/>
    <m/>
    <m/>
    <m/>
    <x v="3"/>
  </r>
  <r>
    <x v="8"/>
    <x v="24"/>
    <n v="4239"/>
    <n v="2.8399999139999998"/>
    <n v="2.8399999139999998"/>
    <n v="0"/>
    <n v="5.9999998999999998E-2"/>
    <n v="0.23999999499999999"/>
    <n v="2.5299999710000001"/>
    <n v="0"/>
    <n v="1"/>
    <n v="6"/>
    <n v="235"/>
    <n v="702"/>
    <x v="191"/>
    <s v="Sedentary"/>
    <m/>
    <m/>
    <m/>
    <m/>
    <x v="3"/>
  </r>
  <r>
    <x v="20"/>
    <x v="24"/>
    <n v="6799"/>
    <n v="4.4899997709999999"/>
    <n v="4.4899997709999999"/>
    <n v="0"/>
    <n v="1.5900000329999999"/>
    <n v="0.86000001400000003"/>
    <n v="2.039999962"/>
    <n v="0"/>
    <n v="24"/>
    <n v="14"/>
    <n v="185"/>
    <n v="1217"/>
    <x v="192"/>
    <s v="Lightly Active"/>
    <m/>
    <m/>
    <m/>
    <m/>
    <x v="3"/>
  </r>
  <r>
    <x v="9"/>
    <x v="24"/>
    <n v="6670"/>
    <n v="5.4099998469999999"/>
    <n v="5.4099998469999999"/>
    <n v="0"/>
    <n v="1.2400000099999999"/>
    <n v="0.80000001200000004"/>
    <n v="3.369999886"/>
    <n v="0"/>
    <n v="15"/>
    <n v="16"/>
    <n v="199"/>
    <n v="770"/>
    <x v="193"/>
    <s v="Lightly Active"/>
    <m/>
    <m/>
    <m/>
    <m/>
    <x v="3"/>
  </r>
  <r>
    <x v="21"/>
    <x v="24"/>
    <n v="11306"/>
    <n v="7.3800001139999996"/>
    <n v="7.3800001139999996"/>
    <n v="0"/>
    <n v="2.3099999430000002"/>
    <n v="0.980000019"/>
    <n v="4.0900001530000001"/>
    <n v="0"/>
    <n v="40"/>
    <n v="26"/>
    <n v="218"/>
    <n v="772"/>
    <x v="194"/>
    <s v="Active"/>
    <m/>
    <m/>
    <m/>
    <m/>
    <x v="3"/>
  </r>
  <r>
    <x v="22"/>
    <x v="24"/>
    <n v="8964"/>
    <n v="6.6999998090000004"/>
    <n v="6.6999998090000004"/>
    <n v="0"/>
    <n v="3.9700000289999999"/>
    <n v="0.189999998"/>
    <n v="2.5299999710000001"/>
    <n v="0"/>
    <n v="107"/>
    <n v="18"/>
    <n v="145"/>
    <n v="756"/>
    <x v="195"/>
    <s v="Moderately Active"/>
    <m/>
    <m/>
    <m/>
    <m/>
    <x v="3"/>
  </r>
  <r>
    <x v="23"/>
    <x v="24"/>
    <n v="9910"/>
    <n v="7.4800000190000002"/>
    <n v="7.4800000190000002"/>
    <n v="0"/>
    <n v="0"/>
    <n v="0"/>
    <n v="7.4800000190000002"/>
    <n v="0"/>
    <n v="0"/>
    <n v="0"/>
    <n v="384"/>
    <n v="990"/>
    <x v="196"/>
    <s v="Moderately Active"/>
    <m/>
    <m/>
    <m/>
    <m/>
    <x v="3"/>
  </r>
  <r>
    <x v="24"/>
    <x v="24"/>
    <n v="0"/>
    <n v="0"/>
    <n v="0"/>
    <n v="0"/>
    <n v="0"/>
    <n v="0"/>
    <n v="0"/>
    <n v="0"/>
    <n v="0"/>
    <n v="0"/>
    <n v="0"/>
    <n v="1440"/>
    <x v="168"/>
    <s v="Sedentary"/>
    <m/>
    <m/>
    <m/>
    <m/>
    <x v="3"/>
  </r>
  <r>
    <x v="25"/>
    <x v="24"/>
    <n v="9766"/>
    <n v="7.5100002290000001"/>
    <n v="0.77999997099999996"/>
    <n v="6.7270569800000004"/>
    <n v="0"/>
    <n v="5.0000001000000002E-2"/>
    <n v="7.4600000380000004"/>
    <n v="0"/>
    <n v="0"/>
    <n v="6"/>
    <n v="301"/>
    <n v="1133"/>
    <x v="197"/>
    <s v="Moderately Active"/>
    <m/>
    <m/>
    <m/>
    <m/>
    <x v="3"/>
  </r>
  <r>
    <x v="26"/>
    <x v="24"/>
    <n v="9348"/>
    <n v="6.6999998090000004"/>
    <n v="6.6999998090000004"/>
    <n v="0"/>
    <n v="1.1299999949999999"/>
    <n v="2.039999962"/>
    <n v="3.1400001049999999"/>
    <n v="0"/>
    <n v="56"/>
    <n v="133"/>
    <n v="240"/>
    <n v="1011"/>
    <x v="198"/>
    <s v="Moderately Active"/>
    <m/>
    <m/>
    <m/>
    <m/>
    <x v="3"/>
  </r>
  <r>
    <x v="10"/>
    <x v="24"/>
    <n v="12010"/>
    <n v="7.9400000569999998"/>
    <n v="7.9400000569999998"/>
    <n v="0"/>
    <n v="2.380000114"/>
    <n v="0.94999998799999996"/>
    <n v="4.6100001339999999"/>
    <n v="0"/>
    <n v="38"/>
    <n v="17"/>
    <n v="287"/>
    <n v="692"/>
    <x v="199"/>
    <s v="Active"/>
    <m/>
    <m/>
    <m/>
    <m/>
    <x v="3"/>
  </r>
  <r>
    <x v="27"/>
    <x v="24"/>
    <n v="12084"/>
    <n v="9.1400003430000005"/>
    <n v="8.0799999239999991"/>
    <n v="4.8363800049999996"/>
    <n v="4.3899998660000001"/>
    <n v="0.46000000800000002"/>
    <n v="4.2899999619999996"/>
    <n v="0"/>
    <n v="50"/>
    <n v="6"/>
    <n v="284"/>
    <n v="1030"/>
    <x v="200"/>
    <s v="Active"/>
    <m/>
    <m/>
    <m/>
    <m/>
    <x v="3"/>
  </r>
  <r>
    <x v="28"/>
    <x v="24"/>
    <n v="7478"/>
    <n v="4.9899997709999999"/>
    <n v="4.9899997709999999"/>
    <n v="0"/>
    <n v="1.7999999520000001"/>
    <n v="0.52999997099999996"/>
    <n v="2.6099998950000001"/>
    <n v="2.9999998999999999E-2"/>
    <n v="25"/>
    <n v="33"/>
    <n v="132"/>
    <n v="1159"/>
    <x v="201"/>
    <s v="Lightly Active"/>
    <m/>
    <m/>
    <m/>
    <m/>
    <x v="3"/>
  </r>
  <r>
    <x v="34"/>
    <x v="24"/>
    <n v="17167"/>
    <n v="13.40999985"/>
    <n v="13.40999985"/>
    <n v="0"/>
    <n v="9.9600000380000004"/>
    <n v="0.310000002"/>
    <n v="3.1400001049999999"/>
    <n v="0"/>
    <n v="98"/>
    <n v="8"/>
    <n v="184"/>
    <n v="1150"/>
    <x v="202"/>
    <s v="Active"/>
    <m/>
    <m/>
    <m/>
    <m/>
    <x v="3"/>
  </r>
  <r>
    <x v="29"/>
    <x v="24"/>
    <n v="0"/>
    <n v="0"/>
    <n v="0"/>
    <n v="0"/>
    <n v="0"/>
    <n v="0"/>
    <n v="0"/>
    <n v="0"/>
    <n v="0"/>
    <n v="0"/>
    <n v="0"/>
    <n v="1440"/>
    <x v="89"/>
    <s v="Sedentary"/>
    <m/>
    <m/>
    <m/>
    <m/>
    <x v="3"/>
  </r>
  <r>
    <x v="30"/>
    <x v="24"/>
    <n v="12846"/>
    <n v="10.18999958"/>
    <n v="10.18999958"/>
    <n v="2.2530810830000001"/>
    <n v="5"/>
    <n v="0.75"/>
    <n v="4.4400000569999998"/>
    <n v="0"/>
    <n v="113"/>
    <n v="15"/>
    <n v="189"/>
    <n v="686"/>
    <x v="203"/>
    <s v="Active"/>
    <m/>
    <m/>
    <m/>
    <m/>
    <x v="3"/>
  </r>
  <r>
    <x v="31"/>
    <x v="24"/>
    <n v="6835"/>
    <n v="5.329999924"/>
    <n v="5.329999924"/>
    <n v="0"/>
    <n v="0.37000000500000002"/>
    <n v="0.730000019"/>
    <n v="4.2399997709999999"/>
    <n v="0"/>
    <n v="5"/>
    <n v="15"/>
    <n v="212"/>
    <n v="1208"/>
    <x v="204"/>
    <s v="Lightly Active"/>
    <m/>
    <m/>
    <m/>
    <m/>
    <x v="3"/>
  </r>
  <r>
    <x v="32"/>
    <x v="24"/>
    <n v="2332"/>
    <n v="1.4900000099999999"/>
    <n v="1.4900000099999999"/>
    <n v="0"/>
    <n v="0.01"/>
    <n v="0.18000000699999999"/>
    <n v="1.2999999520000001"/>
    <n v="0"/>
    <n v="1"/>
    <n v="10"/>
    <n v="111"/>
    <n v="904"/>
    <x v="205"/>
    <s v="Sedentary"/>
    <m/>
    <m/>
    <m/>
    <m/>
    <x v="3"/>
  </r>
  <r>
    <x v="33"/>
    <x v="24"/>
    <n v="10695"/>
    <n v="8.1199998860000004"/>
    <n v="8.1199998860000004"/>
    <n v="0"/>
    <n v="0.769999981"/>
    <n v="0.18000000699999999"/>
    <n v="7.0900001530000001"/>
    <n v="0.01"/>
    <n v="10"/>
    <n v="3"/>
    <n v="246"/>
    <n v="1181"/>
    <x v="206"/>
    <s v="Active"/>
    <m/>
    <m/>
    <m/>
    <m/>
    <x v="3"/>
  </r>
  <r>
    <x v="2"/>
    <x v="25"/>
    <n v="11974"/>
    <n v="7.670000076"/>
    <n v="7.670000076"/>
    <n v="0"/>
    <n v="2.039999962"/>
    <n v="0.47999998900000002"/>
    <n v="5.1500000950000002"/>
    <n v="0"/>
    <n v="27"/>
    <n v="12"/>
    <n v="228"/>
    <n v="1173"/>
    <x v="207"/>
    <s v="Active"/>
    <m/>
    <m/>
    <m/>
    <m/>
    <x v="4"/>
  </r>
  <r>
    <x v="3"/>
    <x v="25"/>
    <n v="1004"/>
    <n v="0.64999997600000003"/>
    <n v="0.64999997600000003"/>
    <n v="0"/>
    <n v="0"/>
    <n v="0"/>
    <n v="0.64999997600000003"/>
    <n v="0"/>
    <n v="0"/>
    <n v="0"/>
    <n v="55"/>
    <n v="1385"/>
    <x v="208"/>
    <s v="Sedentary"/>
    <m/>
    <m/>
    <m/>
    <m/>
    <x v="4"/>
  </r>
  <r>
    <x v="11"/>
    <x v="25"/>
    <n v="8046"/>
    <n v="5.8499999049999998"/>
    <n v="5.8499999049999998"/>
    <n v="0"/>
    <n v="1.289999962"/>
    <n v="2.119999886"/>
    <n v="2.4500000480000002"/>
    <n v="0"/>
    <n v="18"/>
    <n v="41"/>
    <n v="137"/>
    <n v="1244"/>
    <x v="209"/>
    <s v="Moderately Active"/>
    <m/>
    <m/>
    <m/>
    <m/>
    <x v="4"/>
  </r>
  <r>
    <x v="12"/>
    <x v="25"/>
    <n v="7"/>
    <n v="0"/>
    <n v="0"/>
    <n v="0"/>
    <n v="0"/>
    <n v="0"/>
    <n v="0"/>
    <n v="0"/>
    <n v="0"/>
    <n v="0"/>
    <n v="1"/>
    <n v="1439"/>
    <x v="210"/>
    <s v="Sedentary"/>
    <m/>
    <m/>
    <m/>
    <m/>
    <x v="4"/>
  </r>
  <r>
    <x v="13"/>
    <x v="25"/>
    <n v="1259"/>
    <n v="0.87000000499999997"/>
    <n v="0.87000000499999997"/>
    <n v="0"/>
    <n v="0"/>
    <n v="0"/>
    <n v="0.87000000499999997"/>
    <n v="0"/>
    <n v="0"/>
    <n v="0"/>
    <n v="73"/>
    <n v="938"/>
    <x v="211"/>
    <s v="Sedentary"/>
    <m/>
    <m/>
    <m/>
    <m/>
    <x v="4"/>
  </r>
  <r>
    <x v="14"/>
    <x v="25"/>
    <n v="15392"/>
    <n v="10.93000031"/>
    <n v="10.93000031"/>
    <n v="0"/>
    <n v="3.4300000669999999"/>
    <n v="1.75"/>
    <n v="5.75"/>
    <n v="0"/>
    <n v="47"/>
    <n v="42"/>
    <n v="258"/>
    <n v="1093"/>
    <x v="212"/>
    <s v="Active"/>
    <m/>
    <m/>
    <m/>
    <m/>
    <x v="4"/>
  </r>
  <r>
    <x v="15"/>
    <x v="25"/>
    <n v="3180"/>
    <n v="1.9700000289999999"/>
    <n v="1.9700000289999999"/>
    <n v="0"/>
    <n v="0"/>
    <n v="0"/>
    <n v="1.9700000289999999"/>
    <n v="0"/>
    <n v="0"/>
    <n v="0"/>
    <n v="185"/>
    <n v="738"/>
    <x v="213"/>
    <s v="Sedentary"/>
    <m/>
    <m/>
    <m/>
    <m/>
    <x v="4"/>
  </r>
  <r>
    <x v="16"/>
    <x v="25"/>
    <n v="6999"/>
    <n v="4.7199997900000001"/>
    <n v="4.7199997900000001"/>
    <n v="0"/>
    <n v="0"/>
    <n v="0"/>
    <n v="4.7199997900000001"/>
    <n v="0"/>
    <n v="0"/>
    <n v="0"/>
    <n v="320"/>
    <n v="1120"/>
    <x v="214"/>
    <s v="Lightly Active"/>
    <m/>
    <m/>
    <m/>
    <m/>
    <x v="4"/>
  </r>
  <r>
    <x v="4"/>
    <x v="25"/>
    <n v="11107"/>
    <n v="7.3400001530000001"/>
    <n v="7.3400001530000001"/>
    <n v="0"/>
    <n v="0.89999997600000003"/>
    <n v="2.7599999899999998"/>
    <n v="3.6800000669999999"/>
    <n v="0"/>
    <n v="14"/>
    <n v="46"/>
    <n v="196"/>
    <n v="759"/>
    <x v="135"/>
    <s v="Active"/>
    <m/>
    <m/>
    <m/>
    <m/>
    <x v="4"/>
  </r>
  <r>
    <x v="17"/>
    <x v="25"/>
    <n v="7350"/>
    <n v="4.9400000569999998"/>
    <n v="4.9400000569999998"/>
    <n v="0"/>
    <n v="0"/>
    <n v="0"/>
    <n v="4.9400000569999998"/>
    <n v="0"/>
    <n v="0"/>
    <n v="0"/>
    <n v="382"/>
    <n v="1058"/>
    <x v="215"/>
    <s v="Lightly Active"/>
    <m/>
    <m/>
    <m/>
    <m/>
    <x v="4"/>
  </r>
  <r>
    <x v="18"/>
    <x v="25"/>
    <n v="6406"/>
    <n v="4.3899998660000001"/>
    <n v="4.3899998660000001"/>
    <n v="0"/>
    <n v="0.77999997099999996"/>
    <n v="9.0000003999999995E-2"/>
    <n v="3.5199999809999998"/>
    <n v="0.01"/>
    <n v="17"/>
    <n v="4"/>
    <n v="325"/>
    <n v="1094"/>
    <x v="45"/>
    <s v="Lightly Active"/>
    <m/>
    <m/>
    <m/>
    <m/>
    <x v="4"/>
  </r>
  <r>
    <x v="19"/>
    <x v="25"/>
    <n v="15425"/>
    <n v="10.31999969"/>
    <n v="10.31999969"/>
    <n v="0"/>
    <n v="1.6200000050000001"/>
    <n v="1.8200000519999999"/>
    <n v="6.8699998860000004"/>
    <n v="0"/>
    <n v="24"/>
    <n v="45"/>
    <n v="331"/>
    <n v="614"/>
    <x v="216"/>
    <s v="Active"/>
    <m/>
    <m/>
    <m/>
    <m/>
    <x v="4"/>
  </r>
  <r>
    <x v="0"/>
    <x v="25"/>
    <n v="7476"/>
    <n v="5.3600001339999999"/>
    <n v="5.3600001339999999"/>
    <n v="0"/>
    <n v="0"/>
    <n v="0"/>
    <n v="5.3099999430000002"/>
    <n v="0"/>
    <n v="0"/>
    <n v="0"/>
    <n v="263"/>
    <n v="920"/>
    <x v="217"/>
    <s v="Lightly Active"/>
    <m/>
    <m/>
    <m/>
    <m/>
    <x v="4"/>
  </r>
  <r>
    <x v="1"/>
    <x v="25"/>
    <n v="18"/>
    <n v="0.01"/>
    <n v="0.01"/>
    <n v="0"/>
    <n v="0"/>
    <n v="0"/>
    <n v="0.01"/>
    <n v="0"/>
    <n v="0"/>
    <n v="0"/>
    <n v="2"/>
    <n v="1438"/>
    <x v="218"/>
    <s v="Sedentary"/>
    <m/>
    <m/>
    <m/>
    <m/>
    <x v="4"/>
  </r>
  <r>
    <x v="6"/>
    <x v="25"/>
    <n v="10946"/>
    <n v="7.3499999049999998"/>
    <n v="7.3499999049999998"/>
    <n v="0"/>
    <n v="0.540000021"/>
    <n v="2.0899999139999998"/>
    <n v="4.7199997900000001"/>
    <n v="0"/>
    <n v="8"/>
    <n v="51"/>
    <n v="308"/>
    <n v="569"/>
    <x v="219"/>
    <s v="Active"/>
    <m/>
    <m/>
    <m/>
    <m/>
    <x v="4"/>
  </r>
  <r>
    <x v="8"/>
    <x v="25"/>
    <n v="6911"/>
    <n v="4.7800002099999999"/>
    <n v="4.7800002099999999"/>
    <n v="0"/>
    <n v="2.3199999330000001"/>
    <n v="0.10000000100000001"/>
    <n v="2.3599998950000001"/>
    <n v="0"/>
    <n v="28"/>
    <n v="2"/>
    <n v="215"/>
    <n v="745"/>
    <x v="220"/>
    <s v="Lightly Active"/>
    <m/>
    <m/>
    <m/>
    <m/>
    <x v="4"/>
  </r>
  <r>
    <x v="20"/>
    <x v="25"/>
    <n v="5668"/>
    <n v="3.75"/>
    <n v="3.75"/>
    <n v="0"/>
    <n v="0"/>
    <n v="0"/>
    <n v="3.75"/>
    <n v="0"/>
    <n v="0"/>
    <n v="0"/>
    <n v="259"/>
    <n v="1181"/>
    <x v="221"/>
    <s v="Lightly Active"/>
    <m/>
    <m/>
    <m/>
    <m/>
    <x v="4"/>
  </r>
  <r>
    <x v="9"/>
    <x v="25"/>
    <n v="7605"/>
    <n v="6.1799998279999997"/>
    <n v="6.1799998279999997"/>
    <n v="0"/>
    <n v="0.33000001299999998"/>
    <n v="0.209999993"/>
    <n v="5.6300001139999996"/>
    <n v="0"/>
    <n v="4"/>
    <n v="4"/>
    <n v="248"/>
    <n v="708"/>
    <x v="222"/>
    <s v="Moderately Active"/>
    <m/>
    <m/>
    <m/>
    <m/>
    <x v="4"/>
  </r>
  <r>
    <x v="21"/>
    <x v="25"/>
    <n v="12252"/>
    <n v="8"/>
    <n v="8"/>
    <n v="0"/>
    <n v="2.4100000860000002"/>
    <n v="1.7000000479999999"/>
    <n v="3.8900001049999999"/>
    <n v="0"/>
    <n v="33"/>
    <n v="28"/>
    <n v="229"/>
    <n v="745"/>
    <x v="223"/>
    <s v="Active"/>
    <m/>
    <m/>
    <m/>
    <m/>
    <x v="4"/>
  </r>
  <r>
    <x v="22"/>
    <x v="25"/>
    <n v="11080"/>
    <n v="8.3000001910000005"/>
    <n v="8.3000001910000005"/>
    <n v="0"/>
    <n v="3.130000114"/>
    <n v="1.3700000050000001"/>
    <n v="3.8099999430000002"/>
    <n v="0"/>
    <n v="83"/>
    <n v="52"/>
    <n v="190"/>
    <n v="695"/>
    <x v="224"/>
    <s v="Active"/>
    <m/>
    <m/>
    <m/>
    <m/>
    <x v="4"/>
  </r>
  <r>
    <x v="23"/>
    <x v="25"/>
    <n v="12409"/>
    <n v="9.3699998860000004"/>
    <n v="9.3699998860000004"/>
    <n v="0"/>
    <n v="0"/>
    <n v="0"/>
    <n v="9.3699998860000004"/>
    <n v="0"/>
    <n v="0"/>
    <n v="0"/>
    <n v="491"/>
    <n v="388"/>
    <x v="225"/>
    <s v="Active"/>
    <m/>
    <m/>
    <m/>
    <m/>
    <x v="4"/>
  </r>
  <r>
    <x v="24"/>
    <x v="25"/>
    <n v="0"/>
    <n v="0"/>
    <n v="0"/>
    <n v="0"/>
    <n v="0"/>
    <n v="0"/>
    <n v="0"/>
    <n v="0"/>
    <n v="0"/>
    <n v="0"/>
    <n v="0"/>
    <n v="1440"/>
    <x v="168"/>
    <s v="Sedentary"/>
    <m/>
    <m/>
    <m/>
    <m/>
    <x v="4"/>
  </r>
  <r>
    <x v="25"/>
    <x v="25"/>
    <n v="165"/>
    <n v="0.12999999500000001"/>
    <n v="0.12999999500000001"/>
    <n v="0"/>
    <n v="0"/>
    <n v="0"/>
    <n v="0.12999999500000001"/>
    <n v="0"/>
    <n v="0"/>
    <n v="0"/>
    <n v="8"/>
    <n v="1432"/>
    <x v="226"/>
    <s v="Sedentary"/>
    <m/>
    <m/>
    <m/>
    <m/>
    <x v="4"/>
  </r>
  <r>
    <x v="26"/>
    <x v="25"/>
    <n v="11761"/>
    <n v="8.4300003050000001"/>
    <n v="8.4300003050000001"/>
    <n v="0"/>
    <n v="1.309999943"/>
    <n v="2.4400000569999998"/>
    <n v="4.6799998279999997"/>
    <n v="0"/>
    <n v="24"/>
    <n v="99"/>
    <n v="300"/>
    <n v="550"/>
    <x v="227"/>
    <s v="Active"/>
    <m/>
    <m/>
    <m/>
    <m/>
    <x v="4"/>
  </r>
  <r>
    <x v="10"/>
    <x v="25"/>
    <n v="12480"/>
    <n v="8.8599996569999995"/>
    <n v="8.25"/>
    <n v="3.97279501"/>
    <n v="4.1799998279999997"/>
    <n v="0.689999998"/>
    <n v="4"/>
    <n v="0"/>
    <n v="55"/>
    <n v="14"/>
    <n v="276"/>
    <n v="593"/>
    <x v="228"/>
    <s v="Active"/>
    <m/>
    <m/>
    <m/>
    <m/>
    <x v="4"/>
  </r>
  <r>
    <x v="27"/>
    <x v="25"/>
    <n v="13513"/>
    <n v="10.25"/>
    <n v="9.0699996949999999"/>
    <n v="4.835720062"/>
    <n v="5.3499999049999998"/>
    <n v="0.33000001299999998"/>
    <n v="4.5599999430000002"/>
    <n v="0"/>
    <n v="64"/>
    <n v="8"/>
    <n v="270"/>
    <n v="1098"/>
    <x v="229"/>
    <s v="Active"/>
    <m/>
    <m/>
    <m/>
    <m/>
    <x v="4"/>
  </r>
  <r>
    <x v="28"/>
    <x v="25"/>
    <n v="7352"/>
    <n v="4.7300000190000002"/>
    <n v="4.7300000190000002"/>
    <n v="0"/>
    <n v="1.4099999670000001"/>
    <n v="0.77999997099999996"/>
    <n v="2.5299999710000001"/>
    <n v="0"/>
    <n v="19"/>
    <n v="14"/>
    <n v="124"/>
    <n v="814"/>
    <x v="230"/>
    <s v="Lightly Active"/>
    <m/>
    <m/>
    <m/>
    <m/>
    <x v="4"/>
  </r>
  <r>
    <x v="34"/>
    <x v="25"/>
    <n v="16435"/>
    <n v="12.420000079999999"/>
    <n v="12.420000079999999"/>
    <n v="0"/>
    <n v="8.9600000380000004"/>
    <n v="0.55000001200000004"/>
    <n v="2.9100000860000002"/>
    <n v="0"/>
    <n v="100"/>
    <n v="14"/>
    <n v="191"/>
    <n v="1135"/>
    <x v="231"/>
    <s v="Active"/>
    <m/>
    <m/>
    <m/>
    <m/>
    <x v="4"/>
  </r>
  <r>
    <x v="29"/>
    <x v="25"/>
    <n v="1931"/>
    <n v="1.2799999710000001"/>
    <n v="1.2799999710000001"/>
    <n v="0"/>
    <n v="0"/>
    <n v="0"/>
    <n v="1.2799999710000001"/>
    <n v="0"/>
    <n v="0"/>
    <n v="0"/>
    <n v="94"/>
    <n v="1346"/>
    <x v="232"/>
    <s v="Sedentary"/>
    <m/>
    <m/>
    <m/>
    <m/>
    <x v="4"/>
  </r>
  <r>
    <x v="30"/>
    <x v="25"/>
    <n v="9124"/>
    <n v="7.2399997709999999"/>
    <n v="7.2399997709999999"/>
    <n v="2.0921471120000001"/>
    <n v="0"/>
    <n v="0.25"/>
    <n v="6.9899997709999999"/>
    <n v="0"/>
    <n v="55"/>
    <n v="6"/>
    <n v="230"/>
    <n v="728"/>
    <x v="233"/>
    <s v="Moderately Active"/>
    <m/>
    <m/>
    <m/>
    <m/>
    <x v="4"/>
  </r>
  <r>
    <x v="31"/>
    <x v="25"/>
    <n v="2098"/>
    <n v="1.6399999860000001"/>
    <n v="1.6399999860000001"/>
    <n v="0"/>
    <n v="0"/>
    <n v="0"/>
    <n v="1.6299999949999999"/>
    <n v="0"/>
    <n v="0"/>
    <n v="0"/>
    <n v="112"/>
    <n v="1328"/>
    <x v="234"/>
    <s v="Sedentary"/>
    <m/>
    <m/>
    <m/>
    <m/>
    <x v="4"/>
  </r>
  <r>
    <x v="32"/>
    <x v="25"/>
    <n v="2121"/>
    <n v="1.3600000139999999"/>
    <n v="1.3600000139999999"/>
    <n v="0"/>
    <n v="0"/>
    <n v="0"/>
    <n v="1.3600000139999999"/>
    <n v="0"/>
    <n v="0"/>
    <n v="0"/>
    <n v="122"/>
    <n v="855"/>
    <x v="235"/>
    <s v="Sedentary"/>
    <m/>
    <m/>
    <m/>
    <m/>
    <x v="4"/>
  </r>
  <r>
    <x v="33"/>
    <x v="25"/>
    <n v="24136"/>
    <n v="20.909999849999998"/>
    <n v="20.909999849999998"/>
    <n v="0"/>
    <n v="12.22000027"/>
    <n v="0.540000021"/>
    <n v="8.0799999239999991"/>
    <n v="0"/>
    <n v="87"/>
    <n v="16"/>
    <n v="318"/>
    <n v="1019"/>
    <x v="236"/>
    <s v="Active"/>
    <m/>
    <m/>
    <m/>
    <m/>
    <x v="4"/>
  </r>
  <r>
    <x v="2"/>
    <x v="26"/>
    <n v="10198"/>
    <n v="6.4400000569999998"/>
    <n v="6.4400000569999998"/>
    <n v="0"/>
    <n v="1.2000000479999999"/>
    <n v="0.790000021"/>
    <n v="4.4499998090000004"/>
    <n v="0"/>
    <n v="17"/>
    <n v="20"/>
    <n v="195"/>
    <n v="1208"/>
    <x v="237"/>
    <s v="Active"/>
    <m/>
    <m/>
    <m/>
    <m/>
    <x v="5"/>
  </r>
  <r>
    <x v="3"/>
    <x v="26"/>
    <n v="1111"/>
    <n v="0.72000002900000004"/>
    <n v="0.72000002900000004"/>
    <n v="0"/>
    <n v="0"/>
    <n v="0"/>
    <n v="0.72000002900000004"/>
    <n v="0"/>
    <n v="0"/>
    <n v="0"/>
    <n v="54"/>
    <n v="1386"/>
    <x v="238"/>
    <s v="Sedentary"/>
    <m/>
    <m/>
    <m/>
    <m/>
    <x v="5"/>
  </r>
  <r>
    <x v="11"/>
    <x v="26"/>
    <n v="11166"/>
    <n v="8.1199998860000004"/>
    <n v="8.1199998860000004"/>
    <n v="0"/>
    <n v="0.209999993"/>
    <n v="2.4100000860000002"/>
    <n v="5.5"/>
    <n v="0"/>
    <n v="3"/>
    <n v="58"/>
    <n v="230"/>
    <n v="1149"/>
    <x v="239"/>
    <s v="Active"/>
    <m/>
    <m/>
    <m/>
    <m/>
    <x v="5"/>
  </r>
  <r>
    <x v="12"/>
    <x v="26"/>
    <n v="6344"/>
    <n v="4.1900000569999998"/>
    <n v="4.1900000569999998"/>
    <n v="0"/>
    <n v="0"/>
    <n v="0"/>
    <n v="4.1900000569999998"/>
    <n v="0"/>
    <n v="0"/>
    <n v="0"/>
    <n v="290"/>
    <n v="1150"/>
    <x v="240"/>
    <s v="Lightly Active"/>
    <m/>
    <m/>
    <m/>
    <m/>
    <x v="5"/>
  </r>
  <r>
    <x v="13"/>
    <x v="26"/>
    <n v="768"/>
    <n v="0.52999997099999996"/>
    <n v="0.52999997099999996"/>
    <n v="0"/>
    <n v="0"/>
    <n v="0"/>
    <n v="0.52999997099999996"/>
    <n v="0"/>
    <n v="0"/>
    <n v="0"/>
    <n v="43"/>
    <n v="1397"/>
    <x v="241"/>
    <s v="Sedentary"/>
    <m/>
    <m/>
    <m/>
    <m/>
    <x v="5"/>
  </r>
  <r>
    <x v="14"/>
    <x v="26"/>
    <n v="18247"/>
    <n v="13.829999920000001"/>
    <n v="13.829999920000001"/>
    <n v="0"/>
    <n v="7.1100001339999999"/>
    <n v="2.210000038"/>
    <n v="4.5100002290000001"/>
    <n v="0"/>
    <n v="72"/>
    <n v="62"/>
    <n v="252"/>
    <n v="1054"/>
    <x v="242"/>
    <s v="Active"/>
    <m/>
    <m/>
    <m/>
    <m/>
    <x v="5"/>
  </r>
  <r>
    <x v="15"/>
    <x v="26"/>
    <n v="2767"/>
    <n v="1.7200000289999999"/>
    <n v="1.7200000289999999"/>
    <n v="0"/>
    <n v="0"/>
    <n v="0"/>
    <n v="1.7200000289999999"/>
    <n v="0"/>
    <n v="0"/>
    <n v="0"/>
    <n v="170"/>
    <n v="673"/>
    <x v="243"/>
    <s v="Sedentary"/>
    <m/>
    <m/>
    <m/>
    <m/>
    <x v="5"/>
  </r>
  <r>
    <x v="16"/>
    <x v="26"/>
    <n v="1846"/>
    <n v="1.2400000099999999"/>
    <n v="1.2400000099999999"/>
    <n v="0"/>
    <n v="0"/>
    <n v="0"/>
    <n v="1.2400000099999999"/>
    <n v="0"/>
    <n v="0"/>
    <n v="0"/>
    <n v="93"/>
    <n v="1347"/>
    <x v="244"/>
    <s v="Sedentary"/>
    <m/>
    <m/>
    <m/>
    <m/>
    <x v="5"/>
  </r>
  <r>
    <x v="4"/>
    <x v="26"/>
    <n v="10320"/>
    <n v="6.8499999049999998"/>
    <n v="6.8499999049999998"/>
    <n v="0"/>
    <n v="0.68000000699999996"/>
    <n v="1.230000019"/>
    <n v="4.9400000569999998"/>
    <n v="0"/>
    <n v="15"/>
    <n v="32"/>
    <n v="315"/>
    <n v="1002"/>
    <x v="245"/>
    <s v="Active"/>
    <m/>
    <m/>
    <m/>
    <m/>
    <x v="5"/>
  </r>
  <r>
    <x v="17"/>
    <x v="26"/>
    <n v="9353"/>
    <n v="6.3099999430000002"/>
    <n v="6.3099999430000002"/>
    <n v="0"/>
    <n v="0.37000000500000002"/>
    <n v="0.689999998"/>
    <n v="5.2399997709999999"/>
    <n v="0"/>
    <n v="5"/>
    <n v="17"/>
    <n v="363"/>
    <n v="1055"/>
    <x v="129"/>
    <s v="Moderately Active"/>
    <m/>
    <m/>
    <m/>
    <m/>
    <x v="5"/>
  </r>
  <r>
    <x v="18"/>
    <x v="26"/>
    <n v="7392"/>
    <n v="5.0999999049999998"/>
    <n v="5.0999999049999998"/>
    <n v="0"/>
    <n v="0.87000000499999997"/>
    <n v="0.15999999600000001"/>
    <n v="4.0500001909999996"/>
    <n v="0.02"/>
    <n v="14"/>
    <n v="9"/>
    <n v="332"/>
    <n v="1085"/>
    <x v="246"/>
    <s v="Lightly Active"/>
    <m/>
    <m/>
    <m/>
    <m/>
    <x v="5"/>
  </r>
  <r>
    <x v="19"/>
    <x v="26"/>
    <n v="8422"/>
    <n v="5.6300001139999996"/>
    <n v="5.6300001139999996"/>
    <n v="0"/>
    <n v="0"/>
    <n v="3.5999999049999998"/>
    <n v="2.039999962"/>
    <n v="0"/>
    <n v="0"/>
    <n v="81"/>
    <n v="139"/>
    <n v="815"/>
    <x v="247"/>
    <s v="Moderately Active"/>
    <m/>
    <m/>
    <m/>
    <m/>
    <x v="5"/>
  </r>
  <r>
    <x v="0"/>
    <x v="26"/>
    <n v="6581"/>
    <n v="4.7199997900000001"/>
    <n v="4.7199997900000001"/>
    <n v="0"/>
    <n v="0"/>
    <n v="0.28999999199999998"/>
    <n v="4.3899998660000001"/>
    <n v="0"/>
    <n v="0"/>
    <n v="8"/>
    <n v="241"/>
    <n v="1191"/>
    <x v="248"/>
    <s v="Lightly Active"/>
    <m/>
    <m/>
    <m/>
    <m/>
    <x v="5"/>
  </r>
  <r>
    <x v="1"/>
    <x v="26"/>
    <n v="4"/>
    <n v="0"/>
    <n v="0"/>
    <n v="0"/>
    <n v="0"/>
    <n v="0"/>
    <n v="0"/>
    <n v="0"/>
    <n v="0"/>
    <n v="0"/>
    <n v="1"/>
    <n v="1439"/>
    <x v="36"/>
    <s v="Sedentary"/>
    <m/>
    <m/>
    <m/>
    <m/>
    <x v="5"/>
  </r>
  <r>
    <x v="6"/>
    <x v="26"/>
    <n v="9130"/>
    <n v="6.1500000950000002"/>
    <n v="6.1500000950000002"/>
    <n v="0"/>
    <n v="0.5"/>
    <n v="0.37999999499999998"/>
    <n v="5.2699999809999998"/>
    <n v="0"/>
    <n v="7"/>
    <n v="11"/>
    <n v="304"/>
    <n v="668"/>
    <x v="249"/>
    <s v="Moderately Active"/>
    <m/>
    <m/>
    <m/>
    <m/>
    <x v="5"/>
  </r>
  <r>
    <x v="8"/>
    <x v="26"/>
    <n v="6667"/>
    <n v="4.6100001339999999"/>
    <n v="4.6100001339999999"/>
    <n v="0"/>
    <n v="2.0199999809999998"/>
    <n v="5.0000001000000002E-2"/>
    <n v="2.5499999519999998"/>
    <n v="0"/>
    <n v="24"/>
    <n v="1"/>
    <n v="208"/>
    <n v="939"/>
    <x v="250"/>
    <s v="Lightly Active"/>
    <m/>
    <m/>
    <m/>
    <m/>
    <x v="5"/>
  </r>
  <r>
    <x v="20"/>
    <x v="26"/>
    <n v="7998"/>
    <n v="5.2899999619999996"/>
    <n v="5.2899999619999996"/>
    <n v="0"/>
    <n v="0.50999998999999996"/>
    <n v="0.25"/>
    <n v="4.5300002099999999"/>
    <n v="0"/>
    <n v="27"/>
    <n v="12"/>
    <n v="296"/>
    <n v="1105"/>
    <x v="251"/>
    <s v="Moderately Active"/>
    <m/>
    <m/>
    <m/>
    <m/>
    <x v="5"/>
  </r>
  <r>
    <x v="9"/>
    <x v="26"/>
    <n v="6585"/>
    <n v="5.3400001530000001"/>
    <n v="5.3400001530000001"/>
    <n v="0"/>
    <n v="0"/>
    <n v="0"/>
    <n v="5.3400001530000001"/>
    <n v="0"/>
    <n v="0"/>
    <n v="0"/>
    <n v="210"/>
    <n v="770"/>
    <x v="252"/>
    <s v="Lightly Active"/>
    <m/>
    <m/>
    <m/>
    <m/>
    <x v="5"/>
  </r>
  <r>
    <x v="21"/>
    <x v="26"/>
    <n v="15444"/>
    <n v="10.079999920000001"/>
    <n v="10.079999920000001"/>
    <n v="0"/>
    <n v="3.2699999809999998"/>
    <n v="1.730000019"/>
    <n v="5.079999924"/>
    <n v="0"/>
    <n v="51"/>
    <n v="39"/>
    <n v="243"/>
    <n v="731"/>
    <x v="253"/>
    <s v="Active"/>
    <m/>
    <m/>
    <m/>
    <m/>
    <x v="5"/>
  </r>
  <r>
    <x v="22"/>
    <x v="26"/>
    <n v="4499"/>
    <n v="3.3599998950000001"/>
    <n v="3.3599998950000001"/>
    <n v="0"/>
    <n v="0.88999998599999997"/>
    <n v="0.25999999000000001"/>
    <n v="2.210000038"/>
    <n v="0"/>
    <n v="31"/>
    <n v="11"/>
    <n v="146"/>
    <n v="756"/>
    <x v="254"/>
    <s v="Sedentary"/>
    <m/>
    <m/>
    <m/>
    <m/>
    <x v="5"/>
  </r>
  <r>
    <x v="23"/>
    <x v="26"/>
    <n v="4853"/>
    <n v="3.6600000860000002"/>
    <n v="3.6600000860000002"/>
    <n v="0"/>
    <n v="0"/>
    <n v="0"/>
    <n v="3.6600000860000002"/>
    <n v="0"/>
    <n v="0"/>
    <n v="0"/>
    <n v="156"/>
    <n v="770"/>
    <x v="255"/>
    <s v="Sedentary"/>
    <m/>
    <m/>
    <m/>
    <m/>
    <x v="5"/>
  </r>
  <r>
    <x v="24"/>
    <x v="26"/>
    <n v="0"/>
    <n v="0"/>
    <n v="0"/>
    <n v="0"/>
    <n v="0"/>
    <n v="0"/>
    <n v="0"/>
    <n v="0"/>
    <n v="0"/>
    <n v="0"/>
    <n v="0"/>
    <n v="1440"/>
    <x v="168"/>
    <s v="Sedentary"/>
    <m/>
    <m/>
    <m/>
    <m/>
    <x v="5"/>
  </r>
  <r>
    <x v="25"/>
    <x v="26"/>
    <n v="0"/>
    <n v="0"/>
    <n v="0"/>
    <n v="0"/>
    <n v="0"/>
    <n v="0"/>
    <n v="0"/>
    <n v="0"/>
    <n v="0"/>
    <n v="0"/>
    <n v="0"/>
    <n v="1440"/>
    <x v="256"/>
    <s v="Sedentary"/>
    <m/>
    <m/>
    <m/>
    <m/>
    <x v="5"/>
  </r>
  <r>
    <x v="26"/>
    <x v="26"/>
    <n v="13987"/>
    <n v="10.02999973"/>
    <n v="10.02999973"/>
    <n v="0"/>
    <n v="2.869999886"/>
    <n v="3.3399999139999998"/>
    <n v="3.8199999330000001"/>
    <n v="0"/>
    <n v="46"/>
    <n v="114"/>
    <n v="250"/>
    <n v="739"/>
    <x v="257"/>
    <s v="Active"/>
    <m/>
    <m/>
    <m/>
    <m/>
    <x v="5"/>
  </r>
  <r>
    <x v="10"/>
    <x v="26"/>
    <n v="13417"/>
    <n v="9.6499996190000008"/>
    <n v="8.8699998860000004"/>
    <n v="1.9263019560000001"/>
    <n v="3.3900001049999999"/>
    <n v="1.25"/>
    <n v="4.9099998469999999"/>
    <n v="0.10000000100000001"/>
    <n v="45"/>
    <n v="16"/>
    <n v="284"/>
    <n v="665"/>
    <x v="55"/>
    <s v="Active"/>
    <m/>
    <m/>
    <m/>
    <m/>
    <x v="5"/>
  </r>
  <r>
    <x v="27"/>
    <x v="26"/>
    <n v="14100"/>
    <n v="10.579999920000001"/>
    <n v="9.4300003050000001"/>
    <n v="4.8759899139999998"/>
    <n v="5.0999999049999998"/>
    <n v="1.190000057"/>
    <n v="4.2800002099999999"/>
    <n v="0"/>
    <n v="61"/>
    <n v="33"/>
    <n v="265"/>
    <n v="1015"/>
    <x v="258"/>
    <s v="Active"/>
    <m/>
    <m/>
    <m/>
    <m/>
    <x v="5"/>
  </r>
  <r>
    <x v="28"/>
    <x v="26"/>
    <n v="14604"/>
    <n v="10.81999969"/>
    <n v="10.81999969"/>
    <n v="0"/>
    <n v="7.2300000190000002"/>
    <n v="1.1200000050000001"/>
    <n v="2.4300000669999999"/>
    <n v="2.9999998999999999E-2"/>
    <n v="76"/>
    <n v="30"/>
    <n v="127"/>
    <n v="695"/>
    <x v="259"/>
    <s v="Active"/>
    <m/>
    <m/>
    <m/>
    <m/>
    <x v="5"/>
  </r>
  <r>
    <x v="34"/>
    <x v="26"/>
    <n v="17078"/>
    <n v="13.19999981"/>
    <n v="13.19999981"/>
    <n v="0"/>
    <n v="9.9700002669999996"/>
    <n v="0.23999999499999999"/>
    <n v="2.9900000100000002"/>
    <n v="0"/>
    <n v="101"/>
    <n v="6"/>
    <n v="190"/>
    <n v="1143"/>
    <x v="260"/>
    <s v="Active"/>
    <m/>
    <m/>
    <m/>
    <m/>
    <x v="5"/>
  </r>
  <r>
    <x v="29"/>
    <x v="26"/>
    <n v="5181"/>
    <n v="3.420000076"/>
    <n v="3.420000076"/>
    <n v="0"/>
    <n v="1"/>
    <n v="0.91000002599999996"/>
    <n v="1.5099999900000001"/>
    <n v="0.01"/>
    <n v="15"/>
    <n v="15"/>
    <n v="107"/>
    <n v="1303"/>
    <x v="6"/>
    <s v="Lightly Active"/>
    <m/>
    <m/>
    <m/>
    <m/>
    <x v="5"/>
  </r>
  <r>
    <x v="30"/>
    <x v="26"/>
    <n v="9725"/>
    <n v="7.7100000380000004"/>
    <n v="7.7100000380000004"/>
    <n v="2.2530810830000001"/>
    <n v="2.4100000860000002"/>
    <n v="0.52999997099999996"/>
    <n v="4.7699999809999998"/>
    <n v="0"/>
    <n v="83"/>
    <n v="11"/>
    <n v="181"/>
    <n v="670"/>
    <x v="261"/>
    <s v="Moderately Active"/>
    <m/>
    <m/>
    <m/>
    <m/>
    <x v="5"/>
  </r>
  <r>
    <x v="31"/>
    <x v="26"/>
    <n v="2816"/>
    <n v="2.2000000480000002"/>
    <n v="2.2000000480000002"/>
    <n v="0"/>
    <n v="0"/>
    <n v="0"/>
    <n v="2.2000000480000002"/>
    <n v="0"/>
    <n v="0"/>
    <n v="0"/>
    <n v="138"/>
    <n v="1302"/>
    <x v="170"/>
    <s v="Sedentary"/>
    <m/>
    <m/>
    <m/>
    <m/>
    <x v="5"/>
  </r>
  <r>
    <x v="32"/>
    <x v="26"/>
    <n v="1291"/>
    <n v="0.829999983"/>
    <n v="0.829999983"/>
    <n v="0"/>
    <n v="0"/>
    <n v="0"/>
    <n v="0.829999983"/>
    <n v="0"/>
    <n v="0"/>
    <n v="0"/>
    <n v="77"/>
    <n v="888"/>
    <x v="262"/>
    <s v="Sedentary"/>
    <m/>
    <m/>
    <m/>
    <m/>
    <x v="5"/>
  </r>
  <r>
    <x v="33"/>
    <x v="26"/>
    <n v="10910"/>
    <n v="8.4200000760000009"/>
    <n v="8.4200000760000009"/>
    <n v="0"/>
    <n v="2.960000038"/>
    <n v="0.38999998600000002"/>
    <n v="5.0300002099999999"/>
    <n v="0"/>
    <n v="32"/>
    <n v="11"/>
    <n v="212"/>
    <n v="1185"/>
    <x v="263"/>
    <s v="Active"/>
    <m/>
    <m/>
    <m/>
    <m/>
    <x v="5"/>
  </r>
  <r>
    <x v="2"/>
    <x v="27"/>
    <n v="12521"/>
    <n v="7.9400000569999998"/>
    <n v="7.9400000569999998"/>
    <n v="0"/>
    <n v="3.3099999430000002"/>
    <n v="0.89999997600000003"/>
    <n v="3.7400000100000002"/>
    <n v="0"/>
    <n v="46"/>
    <n v="22"/>
    <n v="212"/>
    <n v="1160"/>
    <x v="264"/>
    <s v="Active"/>
    <m/>
    <m/>
    <m/>
    <m/>
    <x v="6"/>
  </r>
  <r>
    <x v="3"/>
    <x v="27"/>
    <n v="6344"/>
    <n v="4.1199998860000004"/>
    <n v="4.1199998860000004"/>
    <n v="0"/>
    <n v="0"/>
    <n v="0"/>
    <n v="4.0999999049999998"/>
    <n v="0"/>
    <n v="0"/>
    <n v="0"/>
    <n v="143"/>
    <n v="1297"/>
    <x v="265"/>
    <s v="Lightly Active"/>
    <m/>
    <m/>
    <m/>
    <m/>
    <x v="6"/>
  </r>
  <r>
    <x v="11"/>
    <x v="27"/>
    <n v="7842"/>
    <n v="5.6999998090000004"/>
    <n v="5.6999998090000004"/>
    <n v="0"/>
    <n v="0.47999998900000002"/>
    <n v="2.4100000860000002"/>
    <n v="2.8099999430000002"/>
    <n v="0"/>
    <n v="7"/>
    <n v="43"/>
    <n v="161"/>
    <n v="1229"/>
    <x v="266"/>
    <s v="Moderately Active"/>
    <m/>
    <m/>
    <m/>
    <m/>
    <x v="6"/>
  </r>
  <r>
    <x v="12"/>
    <x v="27"/>
    <n v="5316"/>
    <n v="3.5099999899999998"/>
    <n v="3.5099999899999998"/>
    <n v="0"/>
    <n v="0"/>
    <n v="0"/>
    <n v="3.5099999899999998"/>
    <n v="0"/>
    <n v="0"/>
    <n v="0"/>
    <n v="221"/>
    <n v="1219"/>
    <x v="267"/>
    <s v="Lightly Active"/>
    <m/>
    <m/>
    <m/>
    <m/>
    <x v="6"/>
  </r>
  <r>
    <x v="13"/>
    <x v="27"/>
    <n v="519"/>
    <n v="0.36000001399999998"/>
    <n v="0.36000001399999998"/>
    <n v="0"/>
    <n v="0"/>
    <n v="0"/>
    <n v="0.36000001399999998"/>
    <n v="0"/>
    <n v="0"/>
    <n v="0"/>
    <n v="34"/>
    <n v="1406"/>
    <x v="268"/>
    <s v="Sedentary"/>
    <m/>
    <m/>
    <m/>
    <m/>
    <x v="6"/>
  </r>
  <r>
    <x v="14"/>
    <x v="27"/>
    <n v="13023"/>
    <n v="9.2600002289999992"/>
    <n v="9.2600002289999992"/>
    <n v="0"/>
    <n v="3.2300000190000002"/>
    <n v="0.560000002"/>
    <n v="5.4699997900000001"/>
    <n v="0"/>
    <n v="40"/>
    <n v="12"/>
    <n v="296"/>
    <n v="1092"/>
    <x v="269"/>
    <s v="Active"/>
    <m/>
    <m/>
    <m/>
    <m/>
    <x v="6"/>
  </r>
  <r>
    <x v="15"/>
    <x v="27"/>
    <n v="3762"/>
    <n v="2.329999924"/>
    <n v="2.329999924"/>
    <n v="0"/>
    <n v="0"/>
    <n v="0"/>
    <n v="2.329999924"/>
    <n v="0"/>
    <n v="0"/>
    <n v="0"/>
    <n v="173"/>
    <n v="719"/>
    <x v="270"/>
    <s v="Sedentary"/>
    <m/>
    <m/>
    <m/>
    <m/>
    <x v="6"/>
  </r>
  <r>
    <x v="16"/>
    <x v="27"/>
    <n v="3417"/>
    <n v="2.2999999519999998"/>
    <n v="2.2999999519999998"/>
    <n v="0"/>
    <n v="0"/>
    <n v="0"/>
    <n v="2.2999999519999998"/>
    <n v="0"/>
    <n v="0"/>
    <n v="0"/>
    <n v="153"/>
    <n v="1287"/>
    <x v="271"/>
    <s v="Sedentary"/>
    <m/>
    <m/>
    <m/>
    <m/>
    <x v="6"/>
  </r>
  <r>
    <x v="4"/>
    <x v="27"/>
    <n v="10209"/>
    <n v="6.75"/>
    <n v="6.75"/>
    <n v="0"/>
    <n v="0.15999999600000001"/>
    <n v="0.34999999399999998"/>
    <n v="6.2300000190000002"/>
    <n v="0"/>
    <n v="2"/>
    <n v="6"/>
    <n v="316"/>
    <n v="711"/>
    <x v="272"/>
    <s v="Active"/>
    <m/>
    <m/>
    <m/>
    <m/>
    <x v="6"/>
  </r>
  <r>
    <x v="17"/>
    <x v="27"/>
    <n v="7157"/>
    <n v="4.8099999430000002"/>
    <n v="4.8099999430000002"/>
    <n v="0"/>
    <n v="0"/>
    <n v="0"/>
    <n v="4.8099999430000002"/>
    <n v="0"/>
    <n v="0"/>
    <n v="0"/>
    <n v="380"/>
    <n v="1060"/>
    <x v="29"/>
    <s v="Lightly Active"/>
    <m/>
    <m/>
    <m/>
    <m/>
    <x v="6"/>
  </r>
  <r>
    <x v="18"/>
    <x v="27"/>
    <n v="5551"/>
    <n v="3.789999962"/>
    <n v="3.789999962"/>
    <n v="0"/>
    <n v="0"/>
    <n v="0"/>
    <n v="3.7699999809999998"/>
    <n v="0.01"/>
    <n v="0"/>
    <n v="0"/>
    <n v="282"/>
    <n v="1158"/>
    <x v="273"/>
    <s v="Lightly Active"/>
    <m/>
    <m/>
    <m/>
    <m/>
    <x v="6"/>
  </r>
  <r>
    <x v="19"/>
    <x v="27"/>
    <n v="10226"/>
    <n v="6.8400001530000001"/>
    <n v="6.8400001530000001"/>
    <n v="0"/>
    <n v="0"/>
    <n v="4.4400000569999998"/>
    <n v="2.4000000950000002"/>
    <n v="0"/>
    <n v="0"/>
    <n v="101"/>
    <n v="174"/>
    <n v="685"/>
    <x v="274"/>
    <s v="Active"/>
    <m/>
    <m/>
    <m/>
    <m/>
    <x v="6"/>
  </r>
  <r>
    <x v="0"/>
    <x v="27"/>
    <n v="10480"/>
    <n v="7.5100002290000001"/>
    <n v="7.5100002290000001"/>
    <n v="0"/>
    <n v="0.40999999599999998"/>
    <n v="1.4700000289999999"/>
    <n v="5.0100002290000001"/>
    <n v="3.9999999000000001E-2"/>
    <n v="6"/>
    <n v="37"/>
    <n v="272"/>
    <n v="1125"/>
    <x v="275"/>
    <s v="Active"/>
    <m/>
    <m/>
    <m/>
    <m/>
    <x v="6"/>
  </r>
  <r>
    <x v="1"/>
    <x v="27"/>
    <n v="8426"/>
    <n v="6.1599998469999999"/>
    <n v="6.1599998469999999"/>
    <n v="0"/>
    <n v="0.12999999500000001"/>
    <n v="5.4899997709999999"/>
    <n v="0.540000021"/>
    <n v="0"/>
    <n v="2"/>
    <n v="120"/>
    <n v="25"/>
    <n v="1293"/>
    <x v="91"/>
    <s v="Moderately Active"/>
    <m/>
    <m/>
    <m/>
    <m/>
    <x v="6"/>
  </r>
  <r>
    <x v="6"/>
    <x v="27"/>
    <n v="6544"/>
    <n v="4.4099998469999999"/>
    <n v="4.4099998469999999"/>
    <n v="0"/>
    <n v="0.28999999199999998"/>
    <n v="0.25999999000000001"/>
    <n v="3.8599998950000001"/>
    <n v="0"/>
    <n v="4"/>
    <n v="6"/>
    <n v="276"/>
    <n v="1132"/>
    <x v="103"/>
    <s v="Lightly Active"/>
    <m/>
    <m/>
    <m/>
    <m/>
    <x v="6"/>
  </r>
  <r>
    <x v="8"/>
    <x v="27"/>
    <n v="5543"/>
    <n v="3.7200000289999999"/>
    <n v="3.7200000289999999"/>
    <n v="0"/>
    <n v="0"/>
    <n v="0"/>
    <n v="3.7200000289999999"/>
    <n v="0"/>
    <n v="0"/>
    <n v="0"/>
    <n v="266"/>
    <n v="941"/>
    <x v="276"/>
    <s v="Lightly Active"/>
    <m/>
    <m/>
    <m/>
    <m/>
    <x v="6"/>
  </r>
  <r>
    <x v="20"/>
    <x v="27"/>
    <n v="4195"/>
    <n v="2.7699999809999998"/>
    <n v="2.7699999809999998"/>
    <n v="0"/>
    <n v="0"/>
    <n v="0"/>
    <n v="2.7699999809999998"/>
    <n v="0"/>
    <n v="0"/>
    <n v="0"/>
    <n v="241"/>
    <n v="1199"/>
    <x v="36"/>
    <s v="Sedentary"/>
    <m/>
    <m/>
    <m/>
    <m/>
    <x v="6"/>
  </r>
  <r>
    <x v="9"/>
    <x v="27"/>
    <n v="8184"/>
    <n v="6.6399998660000001"/>
    <n v="6.6399998660000001"/>
    <n v="0"/>
    <n v="0"/>
    <n v="0.62000000499999997"/>
    <n v="5.9499998090000004"/>
    <n v="0"/>
    <n v="0"/>
    <n v="15"/>
    <n v="247"/>
    <n v="808"/>
    <x v="277"/>
    <s v="Moderately Active"/>
    <m/>
    <m/>
    <m/>
    <m/>
    <x v="6"/>
  </r>
  <r>
    <x v="21"/>
    <x v="27"/>
    <n v="9938"/>
    <n v="6.4899997709999999"/>
    <n v="6.4899997709999999"/>
    <n v="0"/>
    <n v="2.1400001049999999"/>
    <n v="1.2799999710000001"/>
    <n v="3.079999924"/>
    <n v="0"/>
    <n v="38"/>
    <n v="24"/>
    <n v="193"/>
    <n v="767"/>
    <x v="278"/>
    <s v="Moderately Active"/>
    <m/>
    <m/>
    <m/>
    <m/>
    <x v="6"/>
  </r>
  <r>
    <x v="22"/>
    <x v="27"/>
    <n v="4363"/>
    <n v="3.2599999899999998"/>
    <n v="3.2599999899999998"/>
    <n v="0"/>
    <n v="0.12999999500000001"/>
    <n v="5.9999998999999998E-2"/>
    <n v="3.079999924"/>
    <n v="0"/>
    <n v="8"/>
    <n v="2"/>
    <n v="156"/>
    <n v="813"/>
    <x v="279"/>
    <s v="Sedentary"/>
    <m/>
    <m/>
    <m/>
    <m/>
    <x v="6"/>
  </r>
  <r>
    <x v="23"/>
    <x v="27"/>
    <n v="8955"/>
    <n v="6.7600002290000001"/>
    <n v="6.7600002290000001"/>
    <n v="0"/>
    <n v="0"/>
    <n v="0"/>
    <n v="6.7300000190000002"/>
    <n v="0"/>
    <n v="0"/>
    <n v="0"/>
    <n v="422"/>
    <n v="1018"/>
    <x v="280"/>
    <s v="Moderately Active"/>
    <m/>
    <m/>
    <m/>
    <m/>
    <x v="6"/>
  </r>
  <r>
    <x v="24"/>
    <x v="27"/>
    <n v="0"/>
    <n v="0"/>
    <n v="0"/>
    <n v="0"/>
    <n v="0"/>
    <n v="0"/>
    <n v="0"/>
    <n v="0"/>
    <n v="0"/>
    <n v="0"/>
    <n v="0"/>
    <n v="1440"/>
    <x v="168"/>
    <s v="Sedentary"/>
    <m/>
    <m/>
    <m/>
    <m/>
    <x v="6"/>
  </r>
  <r>
    <x v="25"/>
    <x v="27"/>
    <n v="0"/>
    <n v="0"/>
    <n v="0"/>
    <n v="0"/>
    <n v="0"/>
    <n v="0"/>
    <n v="0"/>
    <n v="0"/>
    <n v="0"/>
    <n v="0"/>
    <n v="0"/>
    <n v="1440"/>
    <x v="47"/>
    <s v="Sedentary"/>
    <m/>
    <m/>
    <m/>
    <m/>
    <x v="6"/>
  </r>
  <r>
    <x v="26"/>
    <x v="27"/>
    <n v="4131"/>
    <n v="2.960000038"/>
    <n v="2.960000038"/>
    <n v="0"/>
    <n v="1.3700000050000001"/>
    <n v="0.61000001400000003"/>
    <n v="0.980000019"/>
    <n v="0"/>
    <n v="27"/>
    <n v="30"/>
    <n v="75"/>
    <n v="1308"/>
    <x v="281"/>
    <s v="Sedentary"/>
    <m/>
    <m/>
    <m/>
    <m/>
    <x v="6"/>
  </r>
  <r>
    <x v="10"/>
    <x v="27"/>
    <n v="14400"/>
    <n v="10.880000109999999"/>
    <n v="9.5200004580000002"/>
    <n v="5.4568638800000002"/>
    <n v="2.4700000289999999"/>
    <n v="2.880000114"/>
    <n v="5.5300002099999999"/>
    <n v="0"/>
    <n v="27"/>
    <n v="37"/>
    <n v="276"/>
    <n v="697"/>
    <x v="63"/>
    <s v="Active"/>
    <m/>
    <m/>
    <m/>
    <m/>
    <x v="6"/>
  </r>
  <r>
    <x v="27"/>
    <x v="27"/>
    <n v="12627"/>
    <n v="9.6499996190000008"/>
    <n v="8.4499998089999995"/>
    <n v="4.8423199649999997"/>
    <n v="4.6999998090000004"/>
    <n v="0.74000001000000004"/>
    <n v="4.2100000380000004"/>
    <n v="0"/>
    <n v="54"/>
    <n v="22"/>
    <n v="301"/>
    <n v="1063"/>
    <x v="282"/>
    <s v="Active"/>
    <m/>
    <m/>
    <m/>
    <m/>
    <x v="6"/>
  </r>
  <r>
    <x v="28"/>
    <x v="27"/>
    <n v="9634"/>
    <n v="6.5199999809999998"/>
    <n v="6.5199999809999998"/>
    <n v="0"/>
    <n v="2.5"/>
    <n v="1.3999999759999999"/>
    <n v="2.5899999139999998"/>
    <n v="0"/>
    <n v="50"/>
    <n v="48"/>
    <n v="140"/>
    <n v="797"/>
    <x v="283"/>
    <s v="Moderately Active"/>
    <m/>
    <m/>
    <m/>
    <m/>
    <x v="6"/>
  </r>
  <r>
    <x v="34"/>
    <x v="27"/>
    <n v="11693"/>
    <n v="9.5399999619999996"/>
    <n v="9.5399999619999996"/>
    <n v="0"/>
    <n v="6.7699999809999998"/>
    <n v="0.25999999000000001"/>
    <n v="2.5"/>
    <n v="0"/>
    <n v="60"/>
    <n v="6"/>
    <n v="153"/>
    <n v="1221"/>
    <x v="284"/>
    <s v="Active"/>
    <m/>
    <m/>
    <m/>
    <m/>
    <x v="6"/>
  </r>
  <r>
    <x v="29"/>
    <x v="27"/>
    <n v="12026"/>
    <n v="9.1499996190000008"/>
    <n v="9.1499996190000008"/>
    <n v="0"/>
    <n v="5.6999998090000004"/>
    <n v="0.93000000699999996"/>
    <n v="2.5099999899999998"/>
    <n v="0"/>
    <n v="47"/>
    <n v="13"/>
    <n v="150"/>
    <n v="1230"/>
    <x v="285"/>
    <s v="Active"/>
    <m/>
    <m/>
    <m/>
    <m/>
    <x v="6"/>
  </r>
  <r>
    <x v="30"/>
    <x v="27"/>
    <n v="8350"/>
    <n v="6.6199998860000004"/>
    <n v="6.6199998860000004"/>
    <n v="2.0921471120000001"/>
    <n v="1.4900000099999999"/>
    <n v="0.52999997099999996"/>
    <n v="4.6100001339999999"/>
    <n v="0"/>
    <n v="72"/>
    <n v="10"/>
    <n v="167"/>
    <n v="868"/>
    <x v="286"/>
    <s v="Moderately Active"/>
    <m/>
    <m/>
    <m/>
    <m/>
    <x v="6"/>
  </r>
  <r>
    <x v="31"/>
    <x v="27"/>
    <n v="1408"/>
    <n v="1.1000000240000001"/>
    <n v="1.1000000240000001"/>
    <n v="0"/>
    <n v="0"/>
    <n v="0"/>
    <n v="1.1000000240000001"/>
    <n v="0"/>
    <n v="0"/>
    <n v="0"/>
    <n v="79"/>
    <n v="1052"/>
    <x v="287"/>
    <s v="Sedentary"/>
    <m/>
    <m/>
    <m/>
    <m/>
    <x v="6"/>
  </r>
  <r>
    <x v="32"/>
    <x v="27"/>
    <n v="1467"/>
    <n v="0.939999998"/>
    <n v="0.939999998"/>
    <n v="0"/>
    <n v="0.10000000100000001"/>
    <n v="0.209999993"/>
    <n v="0.62999999500000003"/>
    <n v="0"/>
    <n v="2"/>
    <n v="8"/>
    <n v="71"/>
    <n v="912"/>
    <x v="185"/>
    <s v="Sedentary"/>
    <m/>
    <m/>
    <m/>
    <m/>
    <x v="6"/>
  </r>
  <r>
    <x v="33"/>
    <x v="27"/>
    <n v="23014"/>
    <n v="20.38999939"/>
    <n v="20.38999939"/>
    <n v="0"/>
    <n v="11.100000380000001"/>
    <n v="0.62999999500000003"/>
    <n v="8.6199998860000004"/>
    <n v="0"/>
    <n v="70"/>
    <n v="29"/>
    <n v="359"/>
    <n v="982"/>
    <x v="288"/>
    <s v="Active"/>
    <m/>
    <m/>
    <m/>
    <m/>
    <x v="6"/>
  </r>
  <r>
    <x v="2"/>
    <x v="28"/>
    <n v="12432"/>
    <n v="8.1000003809999992"/>
    <n v="8.1000003809999992"/>
    <n v="0"/>
    <n v="2.5899999139999998"/>
    <n v="0.58999997400000004"/>
    <n v="4.920000076"/>
    <n v="0"/>
    <n v="32"/>
    <n v="15"/>
    <n v="248"/>
    <n v="738"/>
    <x v="289"/>
    <s v="Active"/>
    <m/>
    <m/>
    <m/>
    <m/>
    <x v="0"/>
  </r>
  <r>
    <x v="3"/>
    <x v="28"/>
    <n v="3572"/>
    <n v="2.3199999330000001"/>
    <n v="2.3199999330000001"/>
    <n v="0"/>
    <n v="0"/>
    <n v="0"/>
    <n v="2.289999962"/>
    <n v="2.9999998999999999E-2"/>
    <n v="0"/>
    <n v="0"/>
    <n v="122"/>
    <n v="1318"/>
    <x v="290"/>
    <s v="Sedentary"/>
    <m/>
    <m/>
    <m/>
    <m/>
    <x v="0"/>
  </r>
  <r>
    <x v="11"/>
    <x v="28"/>
    <n v="13840"/>
    <n v="10.06000042"/>
    <n v="10.06000042"/>
    <n v="0"/>
    <n v="1.309999943"/>
    <n v="3.7200000289999999"/>
    <n v="5.0300002099999999"/>
    <n v="0"/>
    <n v="18"/>
    <n v="81"/>
    <n v="192"/>
    <n v="1149"/>
    <x v="291"/>
    <s v="Active"/>
    <m/>
    <m/>
    <m/>
    <m/>
    <x v="0"/>
  </r>
  <r>
    <x v="12"/>
    <x v="28"/>
    <n v="4979"/>
    <n v="3.289999962"/>
    <n v="3.289999962"/>
    <n v="0"/>
    <n v="0"/>
    <n v="0"/>
    <n v="3.289999962"/>
    <n v="0"/>
    <n v="0"/>
    <n v="0"/>
    <n v="184"/>
    <n v="620"/>
    <x v="292"/>
    <s v="Sedentary"/>
    <m/>
    <m/>
    <m/>
    <m/>
    <x v="0"/>
  </r>
  <r>
    <x v="13"/>
    <x v="28"/>
    <n v="2523"/>
    <n v="1.75"/>
    <n v="1.75"/>
    <n v="0"/>
    <n v="0"/>
    <n v="0.37000000500000002"/>
    <n v="1.3799999949999999"/>
    <n v="0"/>
    <n v="0"/>
    <n v="9"/>
    <n v="134"/>
    <n v="1250"/>
    <x v="293"/>
    <s v="Sedentary"/>
    <m/>
    <m/>
    <m/>
    <m/>
    <x v="0"/>
  </r>
  <r>
    <x v="14"/>
    <x v="28"/>
    <n v="16267"/>
    <n v="12.59000015"/>
    <n v="12.59000015"/>
    <n v="0"/>
    <n v="5.75"/>
    <n v="0.469999999"/>
    <n v="6.3699998860000004"/>
    <n v="0"/>
    <n v="44"/>
    <n v="16"/>
    <n v="302"/>
    <n v="1078"/>
    <x v="229"/>
    <s v="Active"/>
    <m/>
    <m/>
    <m/>
    <m/>
    <x v="0"/>
  </r>
  <r>
    <x v="15"/>
    <x v="28"/>
    <n v="3098"/>
    <n v="1.9199999569999999"/>
    <n v="1.9199999569999999"/>
    <n v="0"/>
    <n v="0"/>
    <n v="0"/>
    <n v="1.9199999569999999"/>
    <n v="0"/>
    <n v="0"/>
    <n v="0"/>
    <n v="185"/>
    <n v="700"/>
    <x v="294"/>
    <s v="Sedentary"/>
    <m/>
    <m/>
    <m/>
    <m/>
    <x v="0"/>
  </r>
  <r>
    <x v="16"/>
    <x v="28"/>
    <n v="4863"/>
    <n v="3.2799999710000001"/>
    <n v="3.2799999710000001"/>
    <n v="0"/>
    <n v="5.9999998999999998E-2"/>
    <n v="0.41999998700000002"/>
    <n v="2.7999999519999998"/>
    <n v="0"/>
    <n v="1"/>
    <n v="11"/>
    <n v="208"/>
    <n v="1220"/>
    <x v="295"/>
    <s v="Sedentary"/>
    <m/>
    <m/>
    <m/>
    <m/>
    <x v="0"/>
  </r>
  <r>
    <x v="4"/>
    <x v="28"/>
    <n v="16081"/>
    <n v="10.630000109999999"/>
    <n v="10.630000109999999"/>
    <n v="0"/>
    <n v="1.25"/>
    <n v="1.8200000519999999"/>
    <n v="7.5599999430000002"/>
    <n v="0"/>
    <n v="16"/>
    <n v="32"/>
    <n v="401"/>
    <n v="970"/>
    <x v="296"/>
    <s v="Active"/>
    <m/>
    <m/>
    <m/>
    <m/>
    <x v="0"/>
  </r>
  <r>
    <x v="17"/>
    <x v="28"/>
    <n v="14103"/>
    <n v="9.5600004199999997"/>
    <n v="9.5600004199999997"/>
    <n v="0"/>
    <n v="3.0199999809999998"/>
    <n v="0.40999999599999998"/>
    <n v="6.1399998660000001"/>
    <n v="0.01"/>
    <n v="46"/>
    <n v="8"/>
    <n v="288"/>
    <n v="1098"/>
    <x v="297"/>
    <s v="Active"/>
    <m/>
    <m/>
    <m/>
    <m/>
    <x v="0"/>
  </r>
  <r>
    <x v="18"/>
    <x v="28"/>
    <n v="8827"/>
    <n v="6.25"/>
    <n v="6.25"/>
    <n v="0"/>
    <n v="1.769999981"/>
    <n v="0.47999998900000002"/>
    <n v="4"/>
    <n v="0.01"/>
    <n v="21"/>
    <n v="10"/>
    <n v="346"/>
    <n v="1063"/>
    <x v="298"/>
    <s v="Moderately Active"/>
    <m/>
    <m/>
    <m/>
    <m/>
    <x v="0"/>
  </r>
  <r>
    <x v="19"/>
    <x v="28"/>
    <n v="14583"/>
    <n v="9.7600002289999992"/>
    <n v="9.7600002289999992"/>
    <n v="0"/>
    <n v="2.4800000190000002"/>
    <n v="1.7400000099999999"/>
    <n v="5.5300002099999999"/>
    <n v="0"/>
    <n v="35"/>
    <n v="36"/>
    <n v="254"/>
    <n v="697"/>
    <x v="299"/>
    <s v="Active"/>
    <m/>
    <m/>
    <m/>
    <m/>
    <x v="0"/>
  </r>
  <r>
    <x v="0"/>
    <x v="28"/>
    <n v="7734"/>
    <n v="5.5500001909999996"/>
    <n v="5.5500001909999996"/>
    <n v="0"/>
    <n v="1.1599999670000001"/>
    <n v="0.49000000999999999"/>
    <n v="3.8199999330000001"/>
    <n v="5.9999998999999998E-2"/>
    <n v="20"/>
    <n v="12"/>
    <n v="223"/>
    <n v="1185"/>
    <x v="300"/>
    <s v="Moderately Active"/>
    <m/>
    <m/>
    <m/>
    <m/>
    <x v="0"/>
  </r>
  <r>
    <x v="1"/>
    <x v="28"/>
    <n v="1650"/>
    <n v="1.210000038"/>
    <n v="1.210000038"/>
    <n v="0"/>
    <n v="0"/>
    <n v="0"/>
    <n v="1.210000038"/>
    <n v="0"/>
    <n v="0"/>
    <n v="0"/>
    <n v="60"/>
    <n v="1380"/>
    <x v="301"/>
    <s v="Sedentary"/>
    <m/>
    <m/>
    <m/>
    <m/>
    <x v="0"/>
  </r>
  <r>
    <x v="6"/>
    <x v="28"/>
    <n v="0"/>
    <n v="0"/>
    <n v="0"/>
    <n v="0"/>
    <n v="0"/>
    <n v="0"/>
    <n v="0"/>
    <n v="0"/>
    <n v="0"/>
    <n v="0"/>
    <n v="0"/>
    <n v="1440"/>
    <x v="302"/>
    <s v="Sedentary"/>
    <m/>
    <m/>
    <m/>
    <m/>
    <x v="0"/>
  </r>
  <r>
    <x v="8"/>
    <x v="28"/>
    <n v="4195"/>
    <n v="2.8099999430000002"/>
    <n v="2.8099999430000002"/>
    <n v="0"/>
    <n v="0"/>
    <n v="0"/>
    <n v="2.8099999430000002"/>
    <n v="0"/>
    <n v="0"/>
    <n v="0"/>
    <n v="239"/>
    <n v="758"/>
    <x v="83"/>
    <s v="Sedentary"/>
    <m/>
    <m/>
    <m/>
    <m/>
    <x v="0"/>
  </r>
  <r>
    <x v="20"/>
    <x v="28"/>
    <n v="5512"/>
    <n v="3.6400001049999999"/>
    <n v="3.6400001049999999"/>
    <n v="0"/>
    <n v="0"/>
    <n v="0"/>
    <n v="3.6400001049999999"/>
    <n v="0"/>
    <n v="0"/>
    <n v="0"/>
    <n v="276"/>
    <n v="1164"/>
    <x v="303"/>
    <s v="Lightly Active"/>
    <m/>
    <m/>
    <m/>
    <m/>
    <x v="0"/>
  </r>
  <r>
    <x v="9"/>
    <x v="28"/>
    <n v="14002"/>
    <n v="11.35999966"/>
    <n v="11.35999966"/>
    <n v="0"/>
    <n v="0.61000001400000003"/>
    <n v="2.6800000669999999"/>
    <n v="8.0600004199999997"/>
    <n v="0"/>
    <n v="8"/>
    <n v="56"/>
    <n v="381"/>
    <n v="407"/>
    <x v="195"/>
    <s v="Active"/>
    <m/>
    <m/>
    <m/>
    <m/>
    <x v="0"/>
  </r>
  <r>
    <x v="21"/>
    <x v="28"/>
    <n v="4599"/>
    <n v="3"/>
    <n v="3"/>
    <n v="0"/>
    <n v="0"/>
    <n v="0"/>
    <n v="3"/>
    <n v="0"/>
    <n v="0"/>
    <n v="0"/>
    <n v="176"/>
    <n v="578"/>
    <x v="304"/>
    <s v="Sedentary"/>
    <m/>
    <m/>
    <m/>
    <m/>
    <x v="0"/>
  </r>
  <r>
    <x v="22"/>
    <x v="28"/>
    <n v="10494"/>
    <n v="7.8400001530000001"/>
    <n v="7.8400001530000001"/>
    <n v="0"/>
    <n v="4.9099998469999999"/>
    <n v="0.77999997099999996"/>
    <n v="2.1500000950000002"/>
    <n v="0"/>
    <n v="123"/>
    <n v="62"/>
    <n v="138"/>
    <n v="601"/>
    <x v="305"/>
    <s v="Active"/>
    <m/>
    <m/>
    <m/>
    <m/>
    <x v="0"/>
  </r>
  <r>
    <x v="23"/>
    <x v="28"/>
    <n v="10789"/>
    <n v="8.1499996190000008"/>
    <n v="8.1499996190000008"/>
    <n v="0"/>
    <n v="0"/>
    <n v="0"/>
    <n v="8.1499996190000008"/>
    <n v="0"/>
    <n v="0"/>
    <n v="0"/>
    <n v="506"/>
    <n v="413"/>
    <x v="306"/>
    <s v="Active"/>
    <m/>
    <m/>
    <m/>
    <m/>
    <x v="0"/>
  </r>
  <r>
    <x v="24"/>
    <x v="28"/>
    <n v="0"/>
    <n v="0"/>
    <n v="0"/>
    <n v="0"/>
    <n v="0"/>
    <n v="0"/>
    <n v="0"/>
    <n v="0"/>
    <n v="0"/>
    <n v="0"/>
    <n v="0"/>
    <n v="1440"/>
    <x v="168"/>
    <s v="Sedentary"/>
    <m/>
    <m/>
    <m/>
    <m/>
    <x v="0"/>
  </r>
  <r>
    <x v="25"/>
    <x v="28"/>
    <n v="0"/>
    <n v="0"/>
    <n v="0"/>
    <n v="0"/>
    <n v="0"/>
    <n v="0"/>
    <n v="0"/>
    <n v="0"/>
    <n v="0"/>
    <n v="0"/>
    <n v="0"/>
    <n v="198"/>
    <x v="307"/>
    <s v="Sedentary"/>
    <m/>
    <m/>
    <m/>
    <m/>
    <x v="0"/>
  </r>
  <r>
    <x v="26"/>
    <x v="28"/>
    <n v="14"/>
    <n v="0.01"/>
    <n v="0.01"/>
    <n v="0"/>
    <n v="0"/>
    <n v="0"/>
    <n v="0.01"/>
    <n v="0"/>
    <n v="0"/>
    <n v="0"/>
    <n v="1"/>
    <n v="601"/>
    <x v="308"/>
    <s v="Sedentary"/>
    <m/>
    <m/>
    <m/>
    <m/>
    <x v="0"/>
  </r>
  <r>
    <x v="10"/>
    <x v="28"/>
    <n v="12495"/>
    <n v="8.2600002289999992"/>
    <n v="8.2600002289999992"/>
    <n v="0"/>
    <n v="2.210000038"/>
    <n v="1.0900000329999999"/>
    <n v="4.9600000380000004"/>
    <n v="0"/>
    <n v="33"/>
    <n v="19"/>
    <n v="324"/>
    <n v="609"/>
    <x v="309"/>
    <s v="Active"/>
    <m/>
    <m/>
    <m/>
    <m/>
    <x v="0"/>
  </r>
  <r>
    <x v="27"/>
    <x v="28"/>
    <n v="10345"/>
    <n v="6.920000076"/>
    <n v="6.920000076"/>
    <n v="0"/>
    <n v="7.0000000000000007E-2"/>
    <n v="0.27000001099999998"/>
    <n v="6.579999924"/>
    <n v="0"/>
    <n v="2"/>
    <n v="6"/>
    <n v="358"/>
    <n v="1074"/>
    <x v="310"/>
    <s v="Active"/>
    <m/>
    <m/>
    <m/>
    <m/>
    <x v="0"/>
  </r>
  <r>
    <x v="28"/>
    <x v="28"/>
    <n v="7338"/>
    <n v="4.670000076"/>
    <n v="4.670000076"/>
    <n v="0"/>
    <n v="1.0800000430000001"/>
    <n v="0.12999999500000001"/>
    <n v="3.460000038"/>
    <n v="0"/>
    <n v="27"/>
    <n v="5"/>
    <n v="204"/>
    <n v="717"/>
    <x v="311"/>
    <s v="Lightly Active"/>
    <m/>
    <m/>
    <m/>
    <m/>
    <x v="0"/>
  </r>
  <r>
    <x v="34"/>
    <x v="28"/>
    <n v="11159"/>
    <n v="9.1400003430000005"/>
    <n v="9.1400003430000005"/>
    <n v="0"/>
    <n v="6.6900000569999998"/>
    <n v="0.25"/>
    <n v="2.1900000569999998"/>
    <n v="0"/>
    <n v="59"/>
    <n v="6"/>
    <n v="120"/>
    <n v="1255"/>
    <x v="312"/>
    <s v="Active"/>
    <m/>
    <m/>
    <m/>
    <m/>
    <x v="0"/>
  </r>
  <r>
    <x v="29"/>
    <x v="28"/>
    <n v="5360"/>
    <n v="3.539999962"/>
    <n v="3.539999962"/>
    <n v="0"/>
    <n v="0.540000021"/>
    <n v="1.5499999520000001"/>
    <n v="1.460000038"/>
    <n v="0"/>
    <n v="8"/>
    <n v="28"/>
    <n v="148"/>
    <n v="1256"/>
    <x v="313"/>
    <s v="Lightly Active"/>
    <m/>
    <m/>
    <m/>
    <m/>
    <x v="0"/>
  </r>
  <r>
    <x v="30"/>
    <x v="28"/>
    <n v="2240"/>
    <n v="1.7799999710000001"/>
    <n v="1.7799999710000001"/>
    <n v="0"/>
    <n v="0"/>
    <n v="0"/>
    <n v="1.7799999710000001"/>
    <n v="0"/>
    <n v="0"/>
    <n v="0"/>
    <n v="110"/>
    <n v="843"/>
    <x v="314"/>
    <s v="Sedentary"/>
    <m/>
    <m/>
    <m/>
    <m/>
    <x v="0"/>
  </r>
  <r>
    <x v="32"/>
    <x v="28"/>
    <n v="1022"/>
    <n v="0.64999997600000003"/>
    <n v="0.64999997600000003"/>
    <n v="0"/>
    <n v="0"/>
    <n v="0"/>
    <n v="0.64999997600000003"/>
    <n v="0"/>
    <n v="0"/>
    <n v="0"/>
    <n v="63"/>
    <n v="739"/>
    <x v="315"/>
    <s v="Sedentary"/>
    <m/>
    <m/>
    <m/>
    <m/>
    <x v="0"/>
  </r>
  <r>
    <x v="33"/>
    <x v="28"/>
    <n v="16470"/>
    <n v="8.0699996949999999"/>
    <n v="8.0699996949999999"/>
    <n v="0"/>
    <n v="0"/>
    <n v="0.02"/>
    <n v="8.0200004580000002"/>
    <n v="0"/>
    <n v="90"/>
    <n v="9"/>
    <n v="289"/>
    <n v="1052"/>
    <x v="316"/>
    <s v="Active"/>
    <m/>
    <m/>
    <m/>
    <m/>
    <x v="0"/>
  </r>
  <r>
    <x v="2"/>
    <x v="29"/>
    <n v="10057"/>
    <n v="6.9800000190000002"/>
    <n v="6.9800000190000002"/>
    <n v="0"/>
    <n v="4"/>
    <n v="0.49000000999999999"/>
    <n v="2.4800000190000002"/>
    <n v="0"/>
    <n v="44"/>
    <n v="13"/>
    <n v="168"/>
    <n v="737"/>
    <x v="237"/>
    <s v="Active"/>
    <m/>
    <m/>
    <m/>
    <m/>
    <x v="1"/>
  </r>
  <r>
    <x v="3"/>
    <x v="29"/>
    <n v="3910"/>
    <n v="2.539999962"/>
    <n v="2.539999962"/>
    <n v="0"/>
    <n v="0.469999999"/>
    <n v="0.25"/>
    <n v="1.809999943"/>
    <n v="0.01"/>
    <n v="7"/>
    <n v="7"/>
    <n v="186"/>
    <n v="1240"/>
    <x v="317"/>
    <s v="Sedentary"/>
    <m/>
    <m/>
    <m/>
    <m/>
    <x v="1"/>
  </r>
  <r>
    <x v="11"/>
    <x v="29"/>
    <n v="1329"/>
    <n v="0.97000002900000004"/>
    <n v="0.97000002900000004"/>
    <n v="0"/>
    <n v="0"/>
    <n v="0"/>
    <n v="0.97000002900000004"/>
    <n v="0"/>
    <n v="0"/>
    <n v="0"/>
    <n v="35"/>
    <n v="207"/>
    <x v="318"/>
    <s v="Sedentary"/>
    <m/>
    <m/>
    <m/>
    <m/>
    <x v="1"/>
  </r>
  <r>
    <x v="12"/>
    <x v="29"/>
    <n v="6556"/>
    <n v="4.3400001530000001"/>
    <n v="4.3400001530000001"/>
    <n v="0"/>
    <n v="0"/>
    <n v="0"/>
    <n v="4.329999924"/>
    <n v="0"/>
    <n v="0"/>
    <n v="0"/>
    <n v="305"/>
    <n v="810"/>
    <x v="319"/>
    <s v="Lightly Active"/>
    <m/>
    <m/>
    <m/>
    <m/>
    <x v="1"/>
  </r>
  <r>
    <x v="13"/>
    <x v="29"/>
    <n v="2105"/>
    <n v="1.460000038"/>
    <n v="1.460000038"/>
    <n v="0"/>
    <n v="0"/>
    <n v="0"/>
    <n v="1.460000038"/>
    <n v="0"/>
    <n v="0"/>
    <n v="0"/>
    <n v="139"/>
    <n v="805"/>
    <x v="197"/>
    <s v="Sedentary"/>
    <m/>
    <m/>
    <m/>
    <m/>
    <x v="1"/>
  </r>
  <r>
    <x v="14"/>
    <x v="29"/>
    <n v="10005"/>
    <n v="7.0199999809999998"/>
    <n v="7.0199999809999998"/>
    <n v="0"/>
    <n v="7.9999998000000003E-2"/>
    <n v="1.0499999520000001"/>
    <n v="5.9000000950000002"/>
    <n v="0"/>
    <n v="1"/>
    <n v="23"/>
    <n v="339"/>
    <n v="1077"/>
    <x v="320"/>
    <s v="Active"/>
    <m/>
    <m/>
    <m/>
    <m/>
    <x v="1"/>
  </r>
  <r>
    <x v="15"/>
    <x v="29"/>
    <n v="5142"/>
    <n v="3.1900000569999998"/>
    <n v="3.1900000569999998"/>
    <n v="0"/>
    <n v="0"/>
    <n v="0"/>
    <n v="3.1900000569999998"/>
    <n v="0"/>
    <n v="0"/>
    <n v="0"/>
    <n v="230"/>
    <n v="654"/>
    <x v="321"/>
    <s v="Lightly Active"/>
    <m/>
    <m/>
    <m/>
    <m/>
    <x v="1"/>
  </r>
  <r>
    <x v="16"/>
    <x v="29"/>
    <n v="2277"/>
    <n v="1.5299999710000001"/>
    <n v="1.5299999710000001"/>
    <n v="0"/>
    <n v="0"/>
    <n v="0"/>
    <n v="1.5299999710000001"/>
    <n v="0"/>
    <n v="0"/>
    <n v="0"/>
    <n v="103"/>
    <n v="1337"/>
    <x v="322"/>
    <s v="Sedentary"/>
    <m/>
    <m/>
    <m/>
    <m/>
    <x v="1"/>
  </r>
  <r>
    <x v="4"/>
    <x v="29"/>
    <n v="10078"/>
    <n v="6.829999924"/>
    <n v="6.829999924"/>
    <n v="0"/>
    <n v="1.019999981"/>
    <n v="0.119999997"/>
    <n v="5.6900000569999998"/>
    <n v="0"/>
    <n v="12"/>
    <n v="3"/>
    <n v="303"/>
    <n v="463"/>
    <x v="323"/>
    <s v="Active"/>
    <m/>
    <m/>
    <m/>
    <m/>
    <x v="1"/>
  </r>
  <r>
    <x v="17"/>
    <x v="29"/>
    <n v="5290"/>
    <n v="3.5499999519999998"/>
    <n v="3.5499999519999998"/>
    <n v="0"/>
    <n v="3.9999999000000001E-2"/>
    <n v="0.34000000400000002"/>
    <n v="3.170000076"/>
    <n v="0"/>
    <n v="1"/>
    <n v="8"/>
    <n v="251"/>
    <n v="1180"/>
    <x v="324"/>
    <s v="Lightly Active"/>
    <m/>
    <m/>
    <m/>
    <m/>
    <x v="1"/>
  </r>
  <r>
    <x v="18"/>
    <x v="29"/>
    <n v="4662"/>
    <n v="3.1800000669999999"/>
    <n v="3.1800000669999999"/>
    <n v="0"/>
    <n v="1.039999962"/>
    <n v="0.15000000599999999"/>
    <n v="1.9900000099999999"/>
    <n v="0"/>
    <n v="22"/>
    <n v="4"/>
    <n v="152"/>
    <n v="735"/>
    <x v="208"/>
    <s v="Sedentary"/>
    <m/>
    <m/>
    <m/>
    <m/>
    <x v="1"/>
  </r>
  <r>
    <x v="19"/>
    <x v="29"/>
    <n v="3573"/>
    <n v="2.3900001049999999"/>
    <n v="2.3900001049999999"/>
    <n v="0"/>
    <n v="0.939999998"/>
    <n v="0.40999999599999998"/>
    <n v="0.97000002900000004"/>
    <n v="0"/>
    <n v="15"/>
    <n v="8"/>
    <n v="99"/>
    <n v="866"/>
    <x v="325"/>
    <s v="Sedentary"/>
    <m/>
    <m/>
    <m/>
    <m/>
    <x v="1"/>
  </r>
  <r>
    <x v="0"/>
    <x v="29"/>
    <n v="5129"/>
    <n v="3.6800000669999999"/>
    <n v="3.6800000669999999"/>
    <n v="0"/>
    <n v="0.18000000699999999"/>
    <n v="0.23999999499999999"/>
    <n v="3.210000038"/>
    <n v="0.01"/>
    <n v="5"/>
    <n v="7"/>
    <n v="176"/>
    <n v="1178"/>
    <x v="326"/>
    <s v="Lightly Active"/>
    <m/>
    <m/>
    <m/>
    <m/>
    <x v="1"/>
  </r>
  <r>
    <x v="1"/>
    <x v="29"/>
    <n v="3434"/>
    <n v="2.5099999899999998"/>
    <n v="2.5099999899999998"/>
    <n v="0"/>
    <n v="7.0000000000000007E-2"/>
    <n v="0.30000001199999998"/>
    <n v="2.1400001049999999"/>
    <n v="0"/>
    <n v="1"/>
    <n v="7"/>
    <n v="108"/>
    <n v="1324"/>
    <x v="327"/>
    <s v="Sedentary"/>
    <m/>
    <m/>
    <m/>
    <m/>
    <x v="1"/>
  </r>
  <r>
    <x v="8"/>
    <x v="29"/>
    <n v="6625"/>
    <n v="4.4499998090000004"/>
    <n v="4.4499998090000004"/>
    <n v="0"/>
    <n v="0"/>
    <n v="0"/>
    <n v="4.4499998090000004"/>
    <n v="0"/>
    <n v="0"/>
    <n v="0"/>
    <n v="316"/>
    <n v="755"/>
    <x v="328"/>
    <s v="Lightly Active"/>
    <m/>
    <m/>
    <m/>
    <m/>
    <x v="1"/>
  </r>
  <r>
    <x v="20"/>
    <x v="29"/>
    <n v="6263"/>
    <n v="4.1399998660000001"/>
    <n v="4.1399998660000001"/>
    <n v="0"/>
    <n v="0"/>
    <n v="0"/>
    <n v="4.1300001139999996"/>
    <n v="0"/>
    <n v="0"/>
    <n v="0"/>
    <n v="290"/>
    <n v="1150"/>
    <x v="329"/>
    <s v="Lightly Active"/>
    <m/>
    <m/>
    <m/>
    <m/>
    <x v="1"/>
  </r>
  <r>
    <x v="9"/>
    <x v="29"/>
    <n v="11135"/>
    <n v="9.0299997330000004"/>
    <n v="9.0299997330000004"/>
    <n v="0"/>
    <n v="7.9999998000000003E-2"/>
    <n v="1.1599999670000001"/>
    <n v="7.7899999619999996"/>
    <n v="0"/>
    <n v="1"/>
    <n v="25"/>
    <n v="331"/>
    <n v="528"/>
    <x v="330"/>
    <s v="Active"/>
    <m/>
    <m/>
    <m/>
    <m/>
    <x v="1"/>
  </r>
  <r>
    <x v="21"/>
    <x v="29"/>
    <n v="5594"/>
    <n v="3.6500000950000002"/>
    <n v="3.6500000950000002"/>
    <n v="0"/>
    <n v="0.280000001"/>
    <n v="1.480000019"/>
    <n v="1.8899999860000001"/>
    <n v="0"/>
    <n v="4"/>
    <n v="25"/>
    <n v="150"/>
    <n v="552"/>
    <x v="331"/>
    <s v="Lightly Active"/>
    <m/>
    <m/>
    <m/>
    <m/>
    <x v="1"/>
  </r>
  <r>
    <x v="22"/>
    <x v="29"/>
    <n v="9776"/>
    <n v="7.3800001139999996"/>
    <n v="7.3800001139999996"/>
    <n v="0"/>
    <n v="2.9300000669999999"/>
    <n v="1.4299999480000001"/>
    <n v="3.0199999809999998"/>
    <n v="0"/>
    <n v="80"/>
    <n v="35"/>
    <n v="162"/>
    <n v="721"/>
    <x v="332"/>
    <s v="Moderately Active"/>
    <m/>
    <m/>
    <m/>
    <m/>
    <x v="1"/>
  </r>
  <r>
    <x v="23"/>
    <x v="29"/>
    <n v="0"/>
    <n v="0"/>
    <n v="0"/>
    <n v="0"/>
    <n v="0"/>
    <n v="0"/>
    <n v="0"/>
    <n v="0"/>
    <n v="0"/>
    <n v="0"/>
    <n v="0"/>
    <n v="1440"/>
    <x v="302"/>
    <s v="Sedentary"/>
    <m/>
    <m/>
    <m/>
    <m/>
    <x v="1"/>
  </r>
  <r>
    <x v="24"/>
    <x v="29"/>
    <n v="0"/>
    <n v="0"/>
    <n v="0"/>
    <n v="0"/>
    <n v="0"/>
    <n v="0"/>
    <n v="0"/>
    <n v="0"/>
    <n v="20"/>
    <n v="0"/>
    <n v="0"/>
    <n v="494"/>
    <x v="333"/>
    <s v="Sedentary"/>
    <m/>
    <m/>
    <m/>
    <m/>
    <x v="1"/>
  </r>
  <r>
    <x v="10"/>
    <x v="29"/>
    <n v="10148"/>
    <n v="6.7100000380000004"/>
    <n v="6.7100000380000004"/>
    <n v="0"/>
    <n v="1.3600000139999999"/>
    <n v="0.219999999"/>
    <n v="5.1300001139999996"/>
    <n v="0"/>
    <n v="19"/>
    <n v="7"/>
    <n v="306"/>
    <n v="679"/>
    <x v="205"/>
    <s v="Active"/>
    <m/>
    <m/>
    <m/>
    <m/>
    <x v="1"/>
  </r>
  <r>
    <x v="27"/>
    <x v="29"/>
    <n v="10146"/>
    <n v="6.7899999619999996"/>
    <n v="6.7899999619999996"/>
    <n v="0"/>
    <n v="7.0000000000000007E-2"/>
    <n v="0.61000001400000003"/>
    <n v="6.1100001339999999"/>
    <n v="0"/>
    <n v="1"/>
    <n v="12"/>
    <n v="397"/>
    <n v="1030"/>
    <x v="334"/>
    <s v="Active"/>
    <m/>
    <m/>
    <m/>
    <m/>
    <x v="1"/>
  </r>
  <r>
    <x v="28"/>
    <x v="29"/>
    <n v="569"/>
    <n v="0.34999999399999998"/>
    <n v="0.34999999399999998"/>
    <n v="0"/>
    <n v="0"/>
    <n v="0"/>
    <n v="0.34000000400000002"/>
    <n v="0"/>
    <n v="0"/>
    <n v="0"/>
    <n v="27"/>
    <n v="1368"/>
    <x v="335"/>
    <s v="Sedentary"/>
    <m/>
    <m/>
    <m/>
    <m/>
    <x v="1"/>
  </r>
  <r>
    <x v="34"/>
    <x v="29"/>
    <n v="10118"/>
    <n v="7.7300000190000002"/>
    <n v="7.7300000190000002"/>
    <n v="0"/>
    <n v="3.0499999519999998"/>
    <n v="0.80000001200000004"/>
    <n v="3.880000114"/>
    <n v="0"/>
    <n v="30"/>
    <n v="18"/>
    <n v="207"/>
    <n v="1185"/>
    <x v="336"/>
    <s v="Active"/>
    <m/>
    <m/>
    <m/>
    <m/>
    <x v="1"/>
  </r>
  <r>
    <x v="29"/>
    <x v="29"/>
    <n v="2545"/>
    <n v="1.6799999480000001"/>
    <n v="1.6799999480000001"/>
    <n v="0"/>
    <n v="0"/>
    <n v="0"/>
    <n v="1.6699999569999999"/>
    <n v="0.02"/>
    <n v="0"/>
    <n v="0"/>
    <n v="126"/>
    <n v="1314"/>
    <x v="337"/>
    <s v="Sedentary"/>
    <m/>
    <m/>
    <m/>
    <m/>
    <x v="1"/>
  </r>
  <r>
    <x v="30"/>
    <x v="29"/>
    <n v="2631"/>
    <n v="2.0899999139999998"/>
    <n v="2.0899999139999998"/>
    <n v="0"/>
    <n v="0"/>
    <n v="0"/>
    <n v="2.0899999139999998"/>
    <n v="0"/>
    <n v="0"/>
    <n v="0"/>
    <n v="117"/>
    <n v="727"/>
    <x v="338"/>
    <s v="Sedentary"/>
    <m/>
    <m/>
    <m/>
    <m/>
    <x v="1"/>
  </r>
  <r>
    <x v="32"/>
    <x v="29"/>
    <n v="4605"/>
    <n v="2.9500000480000002"/>
    <n v="2.9500000480000002"/>
    <n v="0"/>
    <n v="0"/>
    <n v="0"/>
    <n v="2.9500000480000002"/>
    <n v="0"/>
    <n v="0"/>
    <n v="0"/>
    <n v="179"/>
    <n v="1261"/>
    <x v="339"/>
    <s v="Sedentary"/>
    <m/>
    <m/>
    <m/>
    <m/>
    <x v="1"/>
  </r>
  <r>
    <x v="33"/>
    <x v="29"/>
    <n v="28497"/>
    <n v="27.530000690000001"/>
    <n v="27.530000690000001"/>
    <n v="0"/>
    <n v="21.920000080000001"/>
    <n v="1.1200000050000001"/>
    <n v="4.4600000380000004"/>
    <n v="0"/>
    <n v="128"/>
    <n v="46"/>
    <n v="211"/>
    <n v="1055"/>
    <x v="340"/>
    <s v="Active"/>
    <m/>
    <m/>
    <m/>
    <m/>
    <x v="1"/>
  </r>
  <r>
    <x v="2"/>
    <x v="30"/>
    <n v="10990"/>
    <n v="7.2600002290000001"/>
    <n v="7.2600002290000001"/>
    <n v="0"/>
    <n v="2.039999962"/>
    <n v="0.56999999300000004"/>
    <n v="4.6500000950000002"/>
    <n v="0"/>
    <n v="26"/>
    <n v="14"/>
    <n v="216"/>
    <n v="855"/>
    <x v="341"/>
    <s v="Active"/>
    <m/>
    <m/>
    <m/>
    <m/>
    <x v="2"/>
  </r>
  <r>
    <x v="3"/>
    <x v="30"/>
    <n v="10000"/>
    <n v="6.5"/>
    <n v="6.5"/>
    <n v="0"/>
    <n v="0"/>
    <n v="0"/>
    <n v="6.5"/>
    <n v="0"/>
    <n v="0"/>
    <n v="0"/>
    <n v="172"/>
    <n v="1268"/>
    <x v="342"/>
    <s v="Active"/>
    <m/>
    <m/>
    <m/>
    <m/>
    <x v="2"/>
  </r>
  <r>
    <x v="12"/>
    <x v="30"/>
    <n v="5430"/>
    <n v="3.5899999139999998"/>
    <n v="3.5899999139999998"/>
    <n v="0"/>
    <n v="0"/>
    <n v="0"/>
    <n v="3.5899999139999998"/>
    <n v="0"/>
    <n v="0"/>
    <n v="0"/>
    <n v="251"/>
    <n v="1189"/>
    <x v="343"/>
    <s v="Lightly Active"/>
    <m/>
    <m/>
    <m/>
    <m/>
    <x v="2"/>
  </r>
  <r>
    <x v="13"/>
    <x v="30"/>
    <n v="1209"/>
    <n v="0.83999997400000004"/>
    <n v="0.83999997400000004"/>
    <n v="0"/>
    <n v="0"/>
    <n v="0"/>
    <n v="0.83999997400000004"/>
    <n v="0"/>
    <n v="0"/>
    <n v="0"/>
    <n v="73"/>
    <n v="842"/>
    <x v="344"/>
    <s v="Sedentary"/>
    <m/>
    <m/>
    <m/>
    <m/>
    <x v="2"/>
  </r>
  <r>
    <x v="14"/>
    <x v="30"/>
    <n v="10106"/>
    <n v="7.0900001530000001"/>
    <n v="7.0900001530000001"/>
    <n v="0"/>
    <n v="1.210000038"/>
    <n v="0.560000002"/>
    <n v="5.329999924"/>
    <n v="0"/>
    <n v="41"/>
    <n v="16"/>
    <n v="272"/>
    <n v="1111"/>
    <x v="345"/>
    <s v="Active"/>
    <m/>
    <m/>
    <m/>
    <m/>
    <x v="2"/>
  </r>
  <r>
    <x v="15"/>
    <x v="30"/>
    <n v="3279"/>
    <n v="2.0299999710000001"/>
    <n v="2.0299999710000001"/>
    <n v="0"/>
    <n v="0"/>
    <n v="0"/>
    <n v="2.0299999710000001"/>
    <n v="0"/>
    <n v="0"/>
    <n v="0"/>
    <n v="164"/>
    <n v="694"/>
    <x v="346"/>
    <s v="Sedentary"/>
    <m/>
    <m/>
    <m/>
    <m/>
    <x v="2"/>
  </r>
  <r>
    <x v="16"/>
    <x v="30"/>
    <n v="11230"/>
    <n v="7.670000076"/>
    <n v="7.670000076"/>
    <n v="0"/>
    <n v="0.88999998599999997"/>
    <n v="0.119999997"/>
    <n v="6.6599998469999999"/>
    <n v="0"/>
    <n v="10"/>
    <n v="2"/>
    <n v="390"/>
    <n v="1038"/>
    <x v="347"/>
    <s v="Active"/>
    <m/>
    <m/>
    <m/>
    <m/>
    <x v="2"/>
  </r>
  <r>
    <x v="4"/>
    <x v="30"/>
    <n v="10001"/>
    <n v="6.6100001339999999"/>
    <n v="6.6100001339999999"/>
    <n v="0"/>
    <n v="0.33000001299999998"/>
    <n v="2.9300000669999999"/>
    <n v="3.3599998950000001"/>
    <n v="0"/>
    <n v="5"/>
    <n v="52"/>
    <n v="196"/>
    <n v="788"/>
    <x v="348"/>
    <s v="Active"/>
    <m/>
    <m/>
    <m/>
    <m/>
    <x v="2"/>
  </r>
  <r>
    <x v="17"/>
    <x v="30"/>
    <n v="7497"/>
    <n v="5.0399999619999996"/>
    <n v="5.0399999619999996"/>
    <n v="0"/>
    <n v="0"/>
    <n v="0"/>
    <n v="5.0399999619999996"/>
    <n v="0"/>
    <n v="0"/>
    <n v="0"/>
    <n v="357"/>
    <n v="882"/>
    <x v="349"/>
    <s v="Lightly Active"/>
    <m/>
    <m/>
    <m/>
    <m/>
    <x v="2"/>
  </r>
  <r>
    <x v="19"/>
    <x v="30"/>
    <n v="3108"/>
    <n v="2.1400001049999999"/>
    <n v="2.1400001049999999"/>
    <n v="0"/>
    <n v="7.0000000000000007E-2"/>
    <n v="3.9999999000000001E-2"/>
    <n v="1.960000038"/>
    <n v="0"/>
    <n v="1"/>
    <n v="1"/>
    <n v="129"/>
    <n v="894"/>
    <x v="350"/>
    <s v="Sedentary"/>
    <m/>
    <m/>
    <m/>
    <m/>
    <x v="2"/>
  </r>
  <r>
    <x v="0"/>
    <x v="30"/>
    <n v="2993"/>
    <n v="2.1500000950000002"/>
    <n v="2.1500000950000002"/>
    <n v="0"/>
    <n v="0"/>
    <n v="0"/>
    <n v="2.0899999139999998"/>
    <n v="0"/>
    <n v="0"/>
    <n v="0"/>
    <n v="114"/>
    <n v="888"/>
    <x v="351"/>
    <s v="Sedentary"/>
    <m/>
    <m/>
    <m/>
    <m/>
    <x v="2"/>
  </r>
  <r>
    <x v="1"/>
    <x v="30"/>
    <n v="6801"/>
    <n v="4.9800000190000002"/>
    <n v="4.9800000190000002"/>
    <n v="0"/>
    <n v="0"/>
    <n v="0"/>
    <n v="4.9699997900000001"/>
    <n v="0"/>
    <n v="0"/>
    <n v="0"/>
    <n v="193"/>
    <n v="1247"/>
    <x v="352"/>
    <s v="Lightly Active"/>
    <m/>
    <m/>
    <m/>
    <m/>
    <x v="2"/>
  </r>
  <r>
    <x v="8"/>
    <x v="30"/>
    <n v="5986"/>
    <n v="4.1300001139999996"/>
    <n v="4.1300001139999996"/>
    <n v="0"/>
    <n v="1.9500000479999999"/>
    <n v="0.23000000400000001"/>
    <n v="1.9500000479999999"/>
    <n v="0"/>
    <n v="23"/>
    <n v="5"/>
    <n v="195"/>
    <n v="789"/>
    <x v="353"/>
    <s v="Lightly Active"/>
    <m/>
    <m/>
    <m/>
    <m/>
    <x v="2"/>
  </r>
  <r>
    <x v="20"/>
    <x v="30"/>
    <n v="8828"/>
    <n v="5.8400001530000001"/>
    <n v="5.8400001530000001"/>
    <n v="0"/>
    <n v="0"/>
    <n v="0"/>
    <n v="5.8400001530000001"/>
    <n v="0"/>
    <n v="0"/>
    <n v="0"/>
    <n v="308"/>
    <n v="1132"/>
    <x v="354"/>
    <s v="Moderately Active"/>
    <m/>
    <m/>
    <m/>
    <m/>
    <x v="2"/>
  </r>
  <r>
    <x v="9"/>
    <x v="30"/>
    <n v="6499"/>
    <n v="5.2699999809999998"/>
    <n v="5.2699999809999998"/>
    <n v="0"/>
    <n v="0"/>
    <n v="0"/>
    <n v="5.2699999809999998"/>
    <n v="0"/>
    <n v="0"/>
    <n v="0"/>
    <n v="207"/>
    <n v="809"/>
    <x v="355"/>
    <s v="Lightly Active"/>
    <m/>
    <m/>
    <m/>
    <m/>
    <x v="2"/>
  </r>
  <r>
    <x v="21"/>
    <x v="30"/>
    <n v="11906"/>
    <n v="7.7699999809999998"/>
    <n v="7.7699999809999998"/>
    <n v="0"/>
    <n v="2.2599999899999998"/>
    <n v="1.519999981"/>
    <n v="3.9900000100000002"/>
    <n v="0"/>
    <n v="32"/>
    <n v="27"/>
    <n v="234"/>
    <n v="688"/>
    <x v="356"/>
    <s v="Active"/>
    <m/>
    <m/>
    <m/>
    <m/>
    <x v="2"/>
  </r>
  <r>
    <x v="22"/>
    <x v="30"/>
    <n v="2862"/>
    <n v="2.1400001049999999"/>
    <n v="2.1400001049999999"/>
    <n v="0"/>
    <n v="1.039999962"/>
    <n v="0.25"/>
    <n v="0.83999997400000004"/>
    <n v="0"/>
    <n v="39"/>
    <n v="17"/>
    <n v="54"/>
    <n v="209"/>
    <x v="357"/>
    <s v="Sedentary"/>
    <m/>
    <m/>
    <m/>
    <m/>
    <x v="2"/>
  </r>
  <r>
    <x v="10"/>
    <x v="30"/>
    <n v="12362"/>
    <n v="9.0900001530000001"/>
    <n v="8.1700000760000009"/>
    <n v="2.696455002"/>
    <n v="1.0900000329999999"/>
    <n v="2.7300000190000002"/>
    <n v="5.2699999809999998"/>
    <n v="0"/>
    <n v="21"/>
    <n v="38"/>
    <n v="297"/>
    <n v="678"/>
    <x v="63"/>
    <s v="Active"/>
    <m/>
    <m/>
    <m/>
    <m/>
    <x v="2"/>
  </r>
  <r>
    <x v="27"/>
    <x v="30"/>
    <n v="12168"/>
    <n v="8.1400003430000005"/>
    <n v="8.1400003430000005"/>
    <n v="0"/>
    <n v="1.0499999520000001"/>
    <n v="0.790000021"/>
    <n v="6.2899999619999996"/>
    <n v="0"/>
    <n v="18"/>
    <n v="27"/>
    <n v="375"/>
    <n v="1020"/>
    <x v="282"/>
    <s v="Active"/>
    <m/>
    <m/>
    <m/>
    <m/>
    <x v="2"/>
  </r>
  <r>
    <x v="28"/>
    <x v="30"/>
    <n v="6242"/>
    <n v="3.920000076"/>
    <n v="3.920000076"/>
    <n v="0"/>
    <n v="0.74000001000000004"/>
    <n v="0.23000000400000001"/>
    <n v="2.9300000669999999"/>
    <n v="0"/>
    <n v="46"/>
    <n v="22"/>
    <n v="126"/>
    <n v="741"/>
    <x v="358"/>
    <s v="Lightly Active"/>
    <m/>
    <m/>
    <m/>
    <m/>
    <x v="2"/>
  </r>
  <r>
    <x v="34"/>
    <x v="30"/>
    <n v="16064"/>
    <n v="12.72000027"/>
    <n v="12.72000027"/>
    <n v="0"/>
    <n v="9.9799995419999998"/>
    <n v="0.36000001399999998"/>
    <n v="2.380000114"/>
    <n v="0"/>
    <n v="96"/>
    <n v="8"/>
    <n v="155"/>
    <n v="1181"/>
    <x v="359"/>
    <s v="Active"/>
    <m/>
    <m/>
    <m/>
    <m/>
    <x v="2"/>
  </r>
  <r>
    <x v="29"/>
    <x v="30"/>
    <n v="1636"/>
    <n v="1.0800000430000001"/>
    <n v="1.0800000430000001"/>
    <n v="0"/>
    <n v="0"/>
    <n v="0"/>
    <n v="1.0800000430000001"/>
    <n v="0"/>
    <n v="0"/>
    <n v="0"/>
    <n v="86"/>
    <n v="1139"/>
    <x v="360"/>
    <s v="Sedentary"/>
    <m/>
    <m/>
    <m/>
    <m/>
    <x v="2"/>
  </r>
  <r>
    <x v="30"/>
    <x v="30"/>
    <n v="8837"/>
    <n v="7.0100002290000001"/>
    <n v="7.0100002290000001"/>
    <n v="2.0921471120000001"/>
    <n v="1.539999962"/>
    <n v="0.87999999500000003"/>
    <n v="4.5900001530000001"/>
    <n v="0"/>
    <n v="74"/>
    <n v="17"/>
    <n v="182"/>
    <n v="811"/>
    <x v="361"/>
    <s v="Moderately Active"/>
    <m/>
    <m/>
    <m/>
    <m/>
    <x v="2"/>
  </r>
  <r>
    <x v="32"/>
    <x v="30"/>
    <n v="178"/>
    <n v="0.109999999"/>
    <n v="0.109999999"/>
    <n v="0"/>
    <n v="0"/>
    <n v="0"/>
    <n v="0.109999999"/>
    <n v="0"/>
    <n v="0"/>
    <n v="0"/>
    <n v="12"/>
    <n v="1428"/>
    <x v="362"/>
    <s v="Sedentary"/>
    <m/>
    <m/>
    <m/>
    <m/>
    <x v="2"/>
  </r>
  <r>
    <x v="33"/>
    <x v="30"/>
    <n v="10622"/>
    <n v="8.0600004199999997"/>
    <n v="8.0600004199999997"/>
    <n v="0"/>
    <n v="1.4700000289999999"/>
    <n v="0.15000000599999999"/>
    <n v="6.3699998860000004"/>
    <n v="0.01"/>
    <n v="18"/>
    <n v="7"/>
    <n v="225"/>
    <n v="1190"/>
    <x v="363"/>
    <s v="Active"/>
    <m/>
    <m/>
    <m/>
    <m/>
    <x v="2"/>
  </r>
  <r>
    <x v="2"/>
    <x v="31"/>
    <n v="224"/>
    <n v="0.14000000100000001"/>
    <n v="0.14000000100000001"/>
    <n v="0"/>
    <n v="0"/>
    <n v="0"/>
    <n v="0.12999999500000001"/>
    <n v="0"/>
    <n v="0"/>
    <n v="0"/>
    <n v="9"/>
    <n v="32"/>
    <x v="364"/>
    <s v="Sedentary"/>
    <d v="2016-04-12T00:00:00"/>
    <n v="1"/>
    <n v="327"/>
    <n v="346"/>
    <x v="3"/>
  </r>
  <r>
    <x v="13"/>
    <x v="31"/>
    <n v="24"/>
    <n v="0.02"/>
    <n v="0.02"/>
    <n v="0"/>
    <n v="0"/>
    <n v="0"/>
    <n v="0.02"/>
    <n v="0"/>
    <n v="0"/>
    <n v="0"/>
    <n v="3"/>
    <n v="161"/>
    <x v="365"/>
    <s v="Sedentary"/>
    <d v="2016-04-12T00:00:00"/>
    <n v="3"/>
    <n v="750"/>
    <n v="775"/>
    <x v="3"/>
  </r>
  <r>
    <x v="3"/>
    <x v="31"/>
    <n v="6627"/>
    <n v="4.3099999430000002"/>
    <n v="4.3099999430000002"/>
    <n v="0"/>
    <n v="0"/>
    <n v="0"/>
    <n v="4.3099999430000002"/>
    <n v="0"/>
    <n v="0"/>
    <n v="0"/>
    <n v="89"/>
    <n v="604"/>
    <x v="366"/>
    <s v="Lightly Active"/>
    <m/>
    <m/>
    <m/>
    <m/>
    <x v="3"/>
  </r>
  <r>
    <x v="15"/>
    <x v="31"/>
    <n v="1019"/>
    <n v="0.62999999500000003"/>
    <n v="0.62999999500000003"/>
    <n v="0"/>
    <n v="0"/>
    <n v="0"/>
    <n v="0.62999999500000003"/>
    <n v="0"/>
    <n v="0"/>
    <n v="0"/>
    <n v="64"/>
    <n v="223"/>
    <x v="367"/>
    <s v="Sedentary"/>
    <d v="2016-04-12T00:00:00"/>
    <n v="1"/>
    <n v="503"/>
    <n v="546"/>
    <x v="3"/>
  </r>
  <r>
    <x v="12"/>
    <x v="31"/>
    <n v="0"/>
    <n v="0"/>
    <n v="0"/>
    <n v="0"/>
    <n v="0"/>
    <n v="0"/>
    <n v="0"/>
    <n v="0"/>
    <n v="0"/>
    <n v="0"/>
    <n v="0"/>
    <n v="426"/>
    <x v="368"/>
    <s v="Sedentary"/>
    <m/>
    <m/>
    <m/>
    <m/>
    <x v="3"/>
  </r>
  <r>
    <x v="19"/>
    <x v="31"/>
    <n v="759"/>
    <n v="0.56999999300000004"/>
    <n v="0.56999999300000004"/>
    <n v="0"/>
    <n v="0"/>
    <n v="0"/>
    <n v="0.56999999300000004"/>
    <n v="0"/>
    <n v="0"/>
    <n v="0"/>
    <n v="17"/>
    <n v="187"/>
    <x v="369"/>
    <s v="Sedentary"/>
    <d v="2016-04-12T00:00:00"/>
    <n v="1"/>
    <n v="274"/>
    <n v="469"/>
    <x v="3"/>
  </r>
  <r>
    <x v="14"/>
    <x v="31"/>
    <n v="6717"/>
    <n v="4.7199997900000001"/>
    <n v="4.7199997900000001"/>
    <n v="0"/>
    <n v="3.2300000190000002"/>
    <n v="0.219999999"/>
    <n v="1.269999981"/>
    <n v="0"/>
    <n v="41"/>
    <n v="5"/>
    <n v="67"/>
    <n v="551"/>
    <x v="370"/>
    <s v="Lightly Active"/>
    <m/>
    <m/>
    <m/>
    <m/>
    <x v="3"/>
  </r>
  <r>
    <x v="16"/>
    <x v="31"/>
    <n v="2098"/>
    <n v="1.4099999670000001"/>
    <n v="1.4099999670000001"/>
    <n v="0"/>
    <n v="0"/>
    <n v="0"/>
    <n v="1.4099999670000001"/>
    <n v="0"/>
    <n v="0"/>
    <n v="0"/>
    <n v="69"/>
    <n v="617"/>
    <x v="371"/>
    <s v="Sedentary"/>
    <m/>
    <m/>
    <m/>
    <m/>
    <x v="3"/>
  </r>
  <r>
    <x v="0"/>
    <x v="31"/>
    <n v="8"/>
    <n v="0.01"/>
    <n v="0.01"/>
    <n v="0"/>
    <n v="0"/>
    <n v="0"/>
    <n v="0.01"/>
    <n v="0"/>
    <n v="0"/>
    <n v="0"/>
    <n v="1"/>
    <n v="321"/>
    <x v="372"/>
    <s v="Sedentary"/>
    <d v="2016-04-12T00:00:00"/>
    <n v="1"/>
    <n v="501"/>
    <n v="541"/>
    <x v="3"/>
  </r>
  <r>
    <x v="4"/>
    <x v="31"/>
    <n v="0"/>
    <n v="0"/>
    <n v="0"/>
    <n v="0"/>
    <n v="0"/>
    <n v="0"/>
    <n v="0"/>
    <n v="0"/>
    <n v="0"/>
    <n v="0"/>
    <n v="0"/>
    <n v="425"/>
    <x v="368"/>
    <s v="Sedentary"/>
    <m/>
    <m/>
    <m/>
    <m/>
    <x v="3"/>
  </r>
  <r>
    <x v="17"/>
    <x v="31"/>
    <n v="0"/>
    <n v="0"/>
    <n v="0"/>
    <n v="0"/>
    <n v="0"/>
    <n v="0"/>
    <n v="0"/>
    <n v="0"/>
    <n v="0"/>
    <n v="0"/>
    <n v="0"/>
    <n v="1440"/>
    <x v="302"/>
    <s v="Sedentary"/>
    <m/>
    <m/>
    <m/>
    <m/>
    <x v="3"/>
  </r>
  <r>
    <x v="8"/>
    <x v="31"/>
    <n v="278"/>
    <n v="0.189999998"/>
    <n v="0.189999998"/>
    <n v="0"/>
    <n v="0"/>
    <n v="0"/>
    <n v="0.189999998"/>
    <n v="0"/>
    <n v="0"/>
    <n v="0"/>
    <n v="20"/>
    <n v="253"/>
    <x v="373"/>
    <s v="Sedentary"/>
    <d v="2016-04-12T00:00:00"/>
    <n v="2"/>
    <n v="429"/>
    <n v="457"/>
    <x v="3"/>
  </r>
  <r>
    <x v="9"/>
    <x v="31"/>
    <n v="0"/>
    <n v="0"/>
    <n v="0"/>
    <n v="0"/>
    <n v="0"/>
    <n v="0"/>
    <n v="0"/>
    <n v="0"/>
    <n v="0"/>
    <n v="0"/>
    <n v="0"/>
    <n v="1440"/>
    <x v="302"/>
    <s v="Sedentary"/>
    <d v="2016-04-12T00:00:00"/>
    <n v="1"/>
    <n v="425"/>
    <n v="439"/>
    <x v="3"/>
  </r>
  <r>
    <x v="21"/>
    <x v="31"/>
    <n v="3436"/>
    <n v="2.2400000100000002"/>
    <n v="2.2400000100000002"/>
    <n v="0"/>
    <n v="0.5"/>
    <n v="0.670000017"/>
    <n v="1.0499999520000001"/>
    <n v="0"/>
    <n v="7"/>
    <n v="11"/>
    <n v="50"/>
    <n v="61"/>
    <x v="374"/>
    <s v="Sedentary"/>
    <d v="2016-04-12T00:00:00"/>
    <n v="1"/>
    <n v="441"/>
    <n v="464"/>
    <x v="3"/>
  </r>
  <r>
    <x v="1"/>
    <x v="31"/>
    <n v="187"/>
    <n v="0.14000000100000001"/>
    <n v="0.14000000100000001"/>
    <n v="0"/>
    <n v="0"/>
    <n v="0"/>
    <n v="0.14000000100000001"/>
    <n v="0"/>
    <n v="0"/>
    <n v="0"/>
    <n v="11"/>
    <n v="400"/>
    <x v="375"/>
    <s v="Sedentary"/>
    <m/>
    <m/>
    <m/>
    <m/>
    <x v="3"/>
  </r>
  <r>
    <x v="20"/>
    <x v="31"/>
    <n v="1260"/>
    <n v="0.829999983"/>
    <n v="0.829999983"/>
    <n v="0"/>
    <n v="0"/>
    <n v="0"/>
    <n v="0.81999999300000004"/>
    <n v="0"/>
    <n v="0"/>
    <n v="0"/>
    <n v="76"/>
    <n v="555"/>
    <x v="376"/>
    <s v="Sedentary"/>
    <m/>
    <m/>
    <m/>
    <m/>
    <x v="3"/>
  </r>
  <r>
    <x v="10"/>
    <x v="31"/>
    <n v="5893"/>
    <n v="3.9000000950000002"/>
    <n v="3.9000000950000002"/>
    <n v="0"/>
    <n v="2.880000114"/>
    <n v="0.560000002"/>
    <n v="0.46000000800000002"/>
    <n v="0"/>
    <n v="43"/>
    <n v="9"/>
    <n v="48"/>
    <n v="146"/>
    <x v="377"/>
    <s v="Lightly Active"/>
    <d v="2016-04-12T00:00:00"/>
    <n v="1"/>
    <n v="366"/>
    <n v="387"/>
    <x v="3"/>
  </r>
  <r>
    <x v="28"/>
    <x v="31"/>
    <n v="430"/>
    <n v="0.25999999000000001"/>
    <n v="0.25999999000000001"/>
    <n v="0"/>
    <n v="0"/>
    <n v="0"/>
    <n v="0.25999999000000001"/>
    <n v="0"/>
    <n v="0"/>
    <n v="0"/>
    <n v="14"/>
    <n v="75"/>
    <x v="378"/>
    <s v="Sedentary"/>
    <d v="2016-04-12T00:00:00"/>
    <n v="1"/>
    <n v="514"/>
    <n v="525"/>
    <x v="3"/>
  </r>
  <r>
    <x v="27"/>
    <x v="31"/>
    <n v="7413"/>
    <n v="5.7699999809999998"/>
    <n v="4.9600000380000004"/>
    <n v="4.869782925"/>
    <n v="4.5"/>
    <n v="0.34000000400000002"/>
    <n v="0.939999998"/>
    <n v="0"/>
    <n v="53"/>
    <n v="6"/>
    <n v="43"/>
    <n v="405"/>
    <x v="379"/>
    <s v="Lightly Active"/>
    <m/>
    <m/>
    <m/>
    <m/>
    <x v="3"/>
  </r>
  <r>
    <x v="34"/>
    <x v="31"/>
    <n v="290"/>
    <n v="0.209999993"/>
    <n v="0.209999993"/>
    <n v="0"/>
    <n v="0"/>
    <n v="0"/>
    <n v="0.209999993"/>
    <n v="0"/>
    <n v="0"/>
    <n v="0"/>
    <n v="16"/>
    <n v="599"/>
    <x v="380"/>
    <s v="Sedentary"/>
    <m/>
    <m/>
    <m/>
    <m/>
    <x v="3"/>
  </r>
  <r>
    <x v="29"/>
    <x v="31"/>
    <n v="0"/>
    <n v="0"/>
    <n v="0"/>
    <n v="0"/>
    <n v="0"/>
    <n v="0"/>
    <n v="0"/>
    <n v="0"/>
    <n v="0"/>
    <n v="0"/>
    <n v="0"/>
    <n v="1440"/>
    <x v="302"/>
    <s v="Sedentary"/>
    <m/>
    <m/>
    <m/>
    <m/>
    <x v="3"/>
  </r>
  <r>
    <x v="30"/>
    <x v="31"/>
    <n v="3246"/>
    <n v="2.5699999330000001"/>
    <n v="2.5699999330000001"/>
    <n v="2.2530810830000001"/>
    <n v="0.829999983"/>
    <n v="0.709999979"/>
    <n v="1.0299999710000001"/>
    <n v="0"/>
    <n v="65"/>
    <n v="15"/>
    <n v="49"/>
    <n v="243"/>
    <x v="303"/>
    <s v="Sedentary"/>
    <d v="2016-04-12T00:00:00"/>
    <n v="1"/>
    <n v="338"/>
    <n v="356"/>
    <x v="3"/>
  </r>
  <r>
    <x v="32"/>
    <x v="31"/>
    <n v="20"/>
    <n v="0.01"/>
    <n v="0.01"/>
    <n v="0"/>
    <n v="0"/>
    <n v="0"/>
    <n v="0.01"/>
    <n v="0"/>
    <n v="0"/>
    <n v="0"/>
    <n v="6"/>
    <n v="598"/>
    <x v="381"/>
    <s v="Sedentary"/>
    <d v="2016-04-12T00:00:00"/>
    <n v="1"/>
    <n v="458"/>
    <n v="493"/>
    <x v="3"/>
  </r>
  <r>
    <x v="33"/>
    <x v="31"/>
    <n v="2350"/>
    <n v="1.7799999710000001"/>
    <n v="1.7799999710000001"/>
    <n v="0"/>
    <n v="0"/>
    <n v="0"/>
    <n v="1.7799999710000001"/>
    <n v="0"/>
    <n v="0"/>
    <n v="0"/>
    <n v="58"/>
    <n v="531"/>
    <x v="382"/>
    <s v="Sedentary"/>
    <m/>
    <m/>
    <m/>
    <m/>
    <x v="3"/>
  </r>
  <r>
    <x v="35"/>
    <x v="32"/>
    <m/>
    <m/>
    <m/>
    <m/>
    <m/>
    <m/>
    <m/>
    <m/>
    <m/>
    <m/>
    <m/>
    <m/>
    <x v="383"/>
    <m/>
    <m/>
    <m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1">
  <location ref="A44:C47" firstHeaderRow="0" firstDataRow="1" firstDataCol="1"/>
  <pivotFields count="21">
    <pivotField showAll="0">
      <items count="37">
        <item x="0"/>
        <item x="1"/>
        <item x="4"/>
        <item x="5"/>
        <item x="2"/>
        <item x="6"/>
        <item x="3"/>
        <item x="8"/>
        <item x="9"/>
        <item x="11"/>
        <item x="12"/>
        <item x="13"/>
        <item x="7"/>
        <item x="10"/>
        <item x="15"/>
        <item x="18"/>
        <item x="19"/>
        <item x="14"/>
        <item x="20"/>
        <item x="16"/>
        <item x="17"/>
        <item x="21"/>
        <item x="23"/>
        <item x="24"/>
        <item x="25"/>
        <item x="27"/>
        <item x="22"/>
        <item x="28"/>
        <item x="26"/>
        <item x="29"/>
        <item x="30"/>
        <item x="31"/>
        <item x="32"/>
        <item x="33"/>
        <item x="34"/>
        <item x="35"/>
        <item t="default"/>
      </items>
    </pivotField>
    <pivotField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multipleItemSelectionAllowed="1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0"/>
  </rowFields>
  <rowItems count="3"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Steps" fld="2" subtotal="average" baseField="0" baseItem="1228791168"/>
    <dataField name="Average of SedentaryMinutes" fld="13" subtotal="average" baseField="0" baseItem="1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2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3:C159" firstHeaderRow="0" firstDataRow="1" firstDataCol="1"/>
  <pivotFields count="22">
    <pivotField axis="axisRow" showAll="0">
      <items count="37">
        <item x="2"/>
        <item x="3"/>
        <item x="11"/>
        <item x="12"/>
        <item x="13"/>
        <item x="14"/>
        <item x="15"/>
        <item x="16"/>
        <item x="4"/>
        <item x="17"/>
        <item x="5"/>
        <item x="18"/>
        <item x="19"/>
        <item x="0"/>
        <item x="1"/>
        <item x="6"/>
        <item x="7"/>
        <item x="8"/>
        <item x="20"/>
        <item x="9"/>
        <item x="21"/>
        <item x="22"/>
        <item x="23"/>
        <item x="24"/>
        <item x="25"/>
        <item x="26"/>
        <item x="10"/>
        <item x="27"/>
        <item x="28"/>
        <item x="34"/>
        <item x="29"/>
        <item x="30"/>
        <item x="31"/>
        <item x="32"/>
        <item x="33"/>
        <item h="1" x="35"/>
        <item t="default"/>
      </items>
    </pivotField>
    <pivotField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lories" fld="14" subtotal="average" baseField="2" baseItem="0"/>
    <dataField name="Average of TotalSteps" fld="2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C39" firstHeaderRow="0" firstDataRow="1" firstDataCol="1"/>
  <pivotFields count="22">
    <pivotField axis="axisRow" showAll="0">
      <items count="37">
        <item x="2"/>
        <item x="3"/>
        <item x="11"/>
        <item x="12"/>
        <item x="13"/>
        <item x="14"/>
        <item x="15"/>
        <item x="16"/>
        <item x="4"/>
        <item x="17"/>
        <item x="5"/>
        <item x="18"/>
        <item x="19"/>
        <item x="0"/>
        <item x="1"/>
        <item x="6"/>
        <item x="7"/>
        <item x="8"/>
        <item x="20"/>
        <item x="9"/>
        <item x="21"/>
        <item x="22"/>
        <item x="23"/>
        <item x="24"/>
        <item x="25"/>
        <item x="26"/>
        <item x="10"/>
        <item x="27"/>
        <item x="28"/>
        <item x="34"/>
        <item x="29"/>
        <item x="30"/>
        <item x="31"/>
        <item x="32"/>
        <item x="33"/>
        <item h="1" x="3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Steps" fld="2" subtotal="average" baseField="0" baseItem="1228791168"/>
    <dataField name="Average of SedentaryMinutes" fld="13" subtotal="average" baseField="0" baseItem="1107849456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93:B118" firstHeaderRow="1" firstDataRow="1" firstDataCol="1"/>
  <pivotFields count="6">
    <pivotField axis="axisRow" showAll="0" sortType="a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showAll="0"/>
    <pivotField showAll="0"/>
    <pivotField dataField="1" showAll="0">
      <items count="258">
        <item x="231"/>
        <item x="110"/>
        <item x="60"/>
        <item x="142"/>
        <item x="206"/>
        <item x="102"/>
        <item x="230"/>
        <item x="131"/>
        <item x="150"/>
        <item x="128"/>
        <item x="162"/>
        <item x="155"/>
        <item x="164"/>
        <item x="24"/>
        <item x="165"/>
        <item x="25"/>
        <item x="161"/>
        <item x="27"/>
        <item x="83"/>
        <item x="35"/>
        <item x="163"/>
        <item x="96"/>
        <item x="82"/>
        <item x="105"/>
        <item x="94"/>
        <item x="86"/>
        <item x="93"/>
        <item x="11"/>
        <item x="17"/>
        <item x="89"/>
        <item x="168"/>
        <item x="99"/>
        <item x="91"/>
        <item x="88"/>
        <item x="16"/>
        <item x="76"/>
        <item x="10"/>
        <item x="80"/>
        <item x="23"/>
        <item x="115"/>
        <item x="78"/>
        <item x="95"/>
        <item x="171"/>
        <item x="77"/>
        <item x="34"/>
        <item x="227"/>
        <item x="124"/>
        <item x="5"/>
        <item x="87"/>
        <item x="100"/>
        <item x="97"/>
        <item x="133"/>
        <item x="103"/>
        <item x="98"/>
        <item x="7"/>
        <item x="0"/>
        <item x="152"/>
        <item x="129"/>
        <item x="19"/>
        <item x="84"/>
        <item x="92"/>
        <item x="18"/>
        <item x="209"/>
        <item x="148"/>
        <item x="21"/>
        <item x="252"/>
        <item x="3"/>
        <item x="13"/>
        <item x="249"/>
        <item x="254"/>
        <item x="187"/>
        <item x="90"/>
        <item x="182"/>
        <item x="247"/>
        <item x="153"/>
        <item x="143"/>
        <item x="85"/>
        <item x="58"/>
        <item x="248"/>
        <item x="6"/>
        <item x="8"/>
        <item x="251"/>
        <item x="107"/>
        <item x="12"/>
        <item x="138"/>
        <item x="15"/>
        <item x="146"/>
        <item x="69"/>
        <item x="180"/>
        <item x="203"/>
        <item x="190"/>
        <item x="81"/>
        <item x="169"/>
        <item x="22"/>
        <item x="1"/>
        <item x="106"/>
        <item x="242"/>
        <item x="151"/>
        <item x="139"/>
        <item x="216"/>
        <item x="197"/>
        <item x="213"/>
        <item x="225"/>
        <item x="243"/>
        <item x="32"/>
        <item x="184"/>
        <item x="167"/>
        <item x="158"/>
        <item x="253"/>
        <item x="14"/>
        <item x="68"/>
        <item x="198"/>
        <item x="74"/>
        <item x="136"/>
        <item x="75"/>
        <item x="2"/>
        <item x="176"/>
        <item x="255"/>
        <item x="178"/>
        <item x="157"/>
        <item x="194"/>
        <item x="154"/>
        <item x="236"/>
        <item x="130"/>
        <item x="223"/>
        <item x="215"/>
        <item x="79"/>
        <item x="166"/>
        <item x="126"/>
        <item x="218"/>
        <item x="135"/>
        <item x="145"/>
        <item x="9"/>
        <item x="208"/>
        <item x="174"/>
        <item x="71"/>
        <item x="177"/>
        <item x="72"/>
        <item x="41"/>
        <item x="196"/>
        <item x="134"/>
        <item x="222"/>
        <item x="147"/>
        <item x="70"/>
        <item x="226"/>
        <item x="239"/>
        <item x="62"/>
        <item x="234"/>
        <item x="191"/>
        <item x="73"/>
        <item x="200"/>
        <item x="119"/>
        <item x="220"/>
        <item x="63"/>
        <item x="193"/>
        <item x="172"/>
        <item x="179"/>
        <item x="59"/>
        <item x="159"/>
        <item x="245"/>
        <item x="202"/>
        <item x="67"/>
        <item x="43"/>
        <item x="149"/>
        <item x="195"/>
        <item x="66"/>
        <item x="224"/>
        <item x="61"/>
        <item x="56"/>
        <item x="144"/>
        <item x="140"/>
        <item x="141"/>
        <item x="118"/>
        <item x="33"/>
        <item x="219"/>
        <item x="44"/>
        <item x="104"/>
        <item x="175"/>
        <item x="173"/>
        <item x="238"/>
        <item x="160"/>
        <item x="117"/>
        <item x="235"/>
        <item x="240"/>
        <item x="122"/>
        <item x="113"/>
        <item x="228"/>
        <item x="51"/>
        <item x="211"/>
        <item x="210"/>
        <item x="250"/>
        <item x="116"/>
        <item x="42"/>
        <item x="125"/>
        <item x="65"/>
        <item x="101"/>
        <item x="156"/>
        <item x="36"/>
        <item x="207"/>
        <item x="114"/>
        <item x="48"/>
        <item x="120"/>
        <item x="49"/>
        <item x="54"/>
        <item x="50"/>
        <item x="232"/>
        <item x="109"/>
        <item x="229"/>
        <item x="45"/>
        <item x="46"/>
        <item x="39"/>
        <item x="40"/>
        <item x="204"/>
        <item x="53"/>
        <item x="221"/>
        <item x="123"/>
        <item x="237"/>
        <item x="37"/>
        <item x="111"/>
        <item x="108"/>
        <item x="55"/>
        <item x="57"/>
        <item x="212"/>
        <item x="201"/>
        <item x="38"/>
        <item x="137"/>
        <item x="199"/>
        <item x="246"/>
        <item x="132"/>
        <item x="186"/>
        <item x="47"/>
        <item x="64"/>
        <item x="244"/>
        <item x="192"/>
        <item x="52"/>
        <item x="30"/>
        <item x="170"/>
        <item x="20"/>
        <item x="214"/>
        <item x="121"/>
        <item x="205"/>
        <item x="241"/>
        <item x="127"/>
        <item x="189"/>
        <item x="217"/>
        <item x="185"/>
        <item x="28"/>
        <item x="181"/>
        <item x="183"/>
        <item x="233"/>
        <item x="112"/>
        <item x="4"/>
        <item x="29"/>
        <item x="31"/>
        <item x="188"/>
        <item x="26"/>
        <item x="256"/>
        <item t="default"/>
      </items>
    </pivotField>
    <pivotField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TotalMinutesAsleep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52:E55" firstHeaderRow="0" firstDataRow="1" firstDataCol="1"/>
  <pivotFields count="21">
    <pivotField showAll="0">
      <items count="37">
        <item x="0"/>
        <item x="1"/>
        <item x="4"/>
        <item x="5"/>
        <item x="2"/>
        <item x="6"/>
        <item x="3"/>
        <item x="8"/>
        <item x="9"/>
        <item x="11"/>
        <item x="12"/>
        <item x="13"/>
        <item x="7"/>
        <item x="10"/>
        <item x="15"/>
        <item x="18"/>
        <item x="19"/>
        <item x="14"/>
        <item x="20"/>
        <item x="16"/>
        <item x="17"/>
        <item x="21"/>
        <item x="23"/>
        <item x="24"/>
        <item x="25"/>
        <item x="27"/>
        <item x="22"/>
        <item x="28"/>
        <item x="26"/>
        <item x="29"/>
        <item x="30"/>
        <item x="31"/>
        <item x="32"/>
        <item x="33"/>
        <item x="34"/>
        <item x="35"/>
        <item t="default"/>
      </items>
    </pivotField>
    <pivotField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0"/>
  </rowFields>
  <rowItems count="3"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VeryActiveMinutes" fld="10" subtotal="average" baseField="20" baseItem="3"/>
    <dataField name="Average of LightlyActiveMinutes" fld="12" subtotal="average" baseField="20" baseItem="3"/>
    <dataField name="Average of FairlyActiveMinutes" fld="11" subtotal="average" baseField="20" baseItem="3"/>
    <dataField name="Average of SedentaryMinutes" fld="13" subtotal="average" baseField="20" baseItem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62:C87" firstHeaderRow="0" firstDataRow="1" firstDataCol="1"/>
  <pivotFields count="6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MinutesAsleep" fld="3" subtotal="average" baseField="0" baseItem="0"/>
    <dataField name="Average of TotalTimeInBed" fld="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164:B172" firstHeaderRow="1" firstDataRow="1" firstDataCol="1"/>
  <pivotFields count="22">
    <pivotField showAll="0">
      <items count="37">
        <item x="2"/>
        <item x="3"/>
        <item x="11"/>
        <item x="12"/>
        <item x="13"/>
        <item x="14"/>
        <item x="15"/>
        <item x="16"/>
        <item x="4"/>
        <item x="17"/>
        <item x="5"/>
        <item x="18"/>
        <item x="19"/>
        <item x="0"/>
        <item x="1"/>
        <item x="6"/>
        <item x="7"/>
        <item x="8"/>
        <item x="20"/>
        <item x="9"/>
        <item x="21"/>
        <item x="22"/>
        <item x="23"/>
        <item x="24"/>
        <item x="25"/>
        <item x="26"/>
        <item x="10"/>
        <item x="27"/>
        <item x="28"/>
        <item x="34"/>
        <item x="29"/>
        <item x="30"/>
        <item x="31"/>
        <item x="32"/>
        <item x="33"/>
        <item h="1" x="35"/>
        <item t="default"/>
      </items>
    </pivotField>
    <pivotField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8">
        <item x="1"/>
        <item x="2"/>
        <item x="3"/>
        <item x="4"/>
        <item x="5"/>
        <item x="6"/>
        <item x="0"/>
        <item h="1" x="7"/>
      </items>
    </pivotField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Steps" fld="2" subtotal="average" baseField="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8" unboundColumnsRight="1">
    <queryTableFields count="17">
      <queryTableField id="1" name="Id" tableColumnId="33"/>
      <queryTableField id="2" name="ActivityDate" tableColumnId="34"/>
      <queryTableField id="3" name="TotalSteps" tableColumnId="35"/>
      <queryTableField id="4" name="TotalDistance" tableColumnId="36"/>
      <queryTableField id="5" name="TrackerDistance" tableColumnId="37"/>
      <queryTableField id="6" name="LoggedActivitiesDistance" tableColumnId="38"/>
      <queryTableField id="7" name="VeryActiveDistance" tableColumnId="39"/>
      <queryTableField id="8" name="ModeratelyActiveDistance" tableColumnId="40"/>
      <queryTableField id="9" name="LightActiveDistance" tableColumnId="41"/>
      <queryTableField id="10" name="SedentaryActiveDistance" tableColumnId="42"/>
      <queryTableField id="11" name="VeryActiveMinutes" tableColumnId="43"/>
      <queryTableField id="12" name="FairlyActiveMinutes" tableColumnId="44"/>
      <queryTableField id="13" name="LightlyActiveMinutes" tableColumnId="45"/>
      <queryTableField id="14" name="SedentaryMinutes" tableColumnId="46"/>
      <queryTableField id="15" name="Calories" tableColumnId="47"/>
      <queryTableField id="16" name="ActivityLevel" tableColumnId="48"/>
      <queryTableField id="17" dataBound="0" tableColumnId="49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Id" tableColumnId="13"/>
      <queryTableField id="2" name="SleepDay" tableColumnId="14"/>
      <queryTableField id="3" name="TotalSleepRecords" tableColumnId="15"/>
      <queryTableField id="4" name="TotalMinutesAsleep" tableColumnId="16"/>
      <queryTableField id="5" name="TotalTimeInBed" tableColumnId="17"/>
      <queryTableField id="6" name="Date" tableColumnId="18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22" unboundColumnsRight="1">
    <queryTableFields count="21">
      <queryTableField id="1" name="Id" tableColumnId="41"/>
      <queryTableField id="2" name="ActivityDate" tableColumnId="42"/>
      <queryTableField id="3" name="TotalSteps" tableColumnId="43"/>
      <queryTableField id="4" name="TotalDistance" tableColumnId="44"/>
      <queryTableField id="5" name="TrackerDistance" tableColumnId="45"/>
      <queryTableField id="6" name="LoggedActivitiesDistance" tableColumnId="46"/>
      <queryTableField id="7" name="VeryActiveDistance" tableColumnId="47"/>
      <queryTableField id="8" name="ModeratelyActiveDistance" tableColumnId="48"/>
      <queryTableField id="9" name="LightActiveDistance" tableColumnId="49"/>
      <queryTableField id="10" name="SedentaryActiveDistance" tableColumnId="50"/>
      <queryTableField id="11" name="VeryActiveMinutes" tableColumnId="51"/>
      <queryTableField id="12" name="FairlyActiveMinutes" tableColumnId="52"/>
      <queryTableField id="13" name="LightlyActiveMinutes" tableColumnId="53"/>
      <queryTableField id="14" name="SedentaryMinutes" tableColumnId="54"/>
      <queryTableField id="15" name="Calories" tableColumnId="55"/>
      <queryTableField id="16" name="ActivityLevel" tableColumnId="56"/>
      <queryTableField id="17" name="sleepDay_merged.SleepDay" tableColumnId="57"/>
      <queryTableField id="18" name="sleepDay_merged.TotalSleepRecords" tableColumnId="58"/>
      <queryTableField id="19" name="sleepDay_merged.TotalMinutesAsleep" tableColumnId="59"/>
      <queryTableField id="20" name="sleepDay_merged.TotalTimeInBed" tableColumnId="60"/>
      <queryTableField id="21" dataBound="0" tableColumnId="6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dailyActivity_merged" displayName="dailyActivity_merged" ref="A1:Q458" tableType="queryTable" totalsRowShown="0">
  <autoFilter ref="A1:Q458"/>
  <tableColumns count="17">
    <tableColumn id="33" uniqueName="33" name="Id" queryTableFieldId="1"/>
    <tableColumn id="34" uniqueName="34" name="ActivityDate" queryTableFieldId="2" dataDxfId="6"/>
    <tableColumn id="35" uniqueName="35" name="TotalSteps" queryTableFieldId="3"/>
    <tableColumn id="36" uniqueName="36" name="TotalDistance" queryTableFieldId="4"/>
    <tableColumn id="37" uniqueName="37" name="TrackerDistance" queryTableFieldId="5"/>
    <tableColumn id="38" uniqueName="38" name="LoggedActivitiesDistance" queryTableFieldId="6"/>
    <tableColumn id="39" uniqueName="39" name="VeryActiveDistance" queryTableFieldId="7"/>
    <tableColumn id="40" uniqueName="40" name="ModeratelyActiveDistance" queryTableFieldId="8"/>
    <tableColumn id="41" uniqueName="41" name="LightActiveDistance" queryTableFieldId="9"/>
    <tableColumn id="42" uniqueName="42" name="SedentaryActiveDistance" queryTableFieldId="10"/>
    <tableColumn id="43" uniqueName="43" name="VeryActiveMinutes" queryTableFieldId="11"/>
    <tableColumn id="44" uniqueName="44" name="FairlyActiveMinutes" queryTableFieldId="12"/>
    <tableColumn id="45" uniqueName="45" name="LightlyActiveMinutes" queryTableFieldId="13"/>
    <tableColumn id="46" uniqueName="46" name="SedentaryMinutes" queryTableFieldId="14"/>
    <tableColumn id="47" uniqueName="47" name="Calories" queryTableFieldId="15"/>
    <tableColumn id="48" uniqueName="48" name="ActivityLevel" queryTableFieldId="16"/>
    <tableColumn id="49" uniqueName="49" name="Day of week" queryTableFieldId="17" dataDxfId="5">
      <calculatedColumnFormula>TEXT(dailyActivity_merged[[#This Row],[ActivityDate]],"dddd")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sleepDay_merged" displayName="sleepDay_merged" ref="A1:F411" tableType="queryTable" totalsRowShown="0">
  <autoFilter ref="A1:F411"/>
  <tableColumns count="6">
    <tableColumn id="13" uniqueName="13" name="Id" queryTableFieldId="1"/>
    <tableColumn id="14" uniqueName="14" name="SleepDay" queryTableFieldId="2" dataDxfId="4"/>
    <tableColumn id="15" uniqueName="15" name="TotalSleepRecords" queryTableFieldId="3"/>
    <tableColumn id="16" uniqueName="16" name="TotalMinutesAsleep" queryTableFieldId="4"/>
    <tableColumn id="17" uniqueName="17" name="TotalTimeInBed" queryTableFieldId="5"/>
    <tableColumn id="18" uniqueName="18" name="Date" queryTableFieldId="6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Merge2" displayName="Merge2" ref="A1:U458" tableType="queryTable" totalsRowShown="0">
  <autoFilter ref="A1:U458"/>
  <sortState ref="A2:T458">
    <sortCondition ref="B1:B458"/>
  </sortState>
  <tableColumns count="21">
    <tableColumn id="41" uniqueName="41" name="Id" queryTableFieldId="1"/>
    <tableColumn id="42" uniqueName="42" name="ActivityDate" queryTableFieldId="2" dataDxfId="2"/>
    <tableColumn id="43" uniqueName="43" name="TotalSteps" queryTableFieldId="3"/>
    <tableColumn id="44" uniqueName="44" name="TotalDistance" queryTableFieldId="4"/>
    <tableColumn id="45" uniqueName="45" name="TrackerDistance" queryTableFieldId="5"/>
    <tableColumn id="46" uniqueName="46" name="LoggedActivitiesDistance" queryTableFieldId="6"/>
    <tableColumn id="47" uniqueName="47" name="VeryActiveDistance" queryTableFieldId="7"/>
    <tableColumn id="48" uniqueName="48" name="ModeratelyActiveDistance" queryTableFieldId="8"/>
    <tableColumn id="49" uniqueName="49" name="LightActiveDistance" queryTableFieldId="9"/>
    <tableColumn id="50" uniqueName="50" name="SedentaryActiveDistance" queryTableFieldId="10"/>
    <tableColumn id="51" uniqueName="51" name="VeryActiveMinutes" queryTableFieldId="11"/>
    <tableColumn id="52" uniqueName="52" name="FairlyActiveMinutes" queryTableFieldId="12"/>
    <tableColumn id="53" uniqueName="53" name="LightlyActiveMinutes" queryTableFieldId="13"/>
    <tableColumn id="54" uniqueName="54" name="SedentaryMinutes" queryTableFieldId="14"/>
    <tableColumn id="55" uniqueName="55" name="Calories" queryTableFieldId="15"/>
    <tableColumn id="56" uniqueName="56" name="ActivityLevel" queryTableFieldId="16"/>
    <tableColumn id="57" uniqueName="57" name="sleepDay_merged.SleepDay" queryTableFieldId="17" dataDxfId="1"/>
    <tableColumn id="58" uniqueName="58" name="sleepDay_merged.TotalSleepRecords" queryTableFieldId="18"/>
    <tableColumn id="59" uniqueName="59" name="sleepDay_merged.TotalMinutesAsleep" queryTableFieldId="19"/>
    <tableColumn id="60" uniqueName="60" name="sleepDay_merged.TotalTimeInBed" queryTableFieldId="20"/>
    <tableColumn id="61" uniqueName="61" name="DayofWeek" queryTableFieldId="21" dataDxfId="0">
      <calculatedColumnFormula>TEXT(Merge2[[#This Row],[ActivityDate]],"dddd")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8"/>
  <sheetViews>
    <sheetView topLeftCell="M1" workbookViewId="0">
      <selection activeCell="Q2" sqref="Q2"/>
    </sheetView>
  </sheetViews>
  <sheetFormatPr defaultRowHeight="14.5" x14ac:dyDescent="0.35"/>
  <cols>
    <col min="1" max="1" width="10.81640625" bestFit="1" customWidth="1"/>
    <col min="2" max="2" width="13.26953125" bestFit="1" customWidth="1"/>
    <col min="3" max="3" width="11.90625" bestFit="1" customWidth="1"/>
    <col min="4" max="4" width="14.54296875" bestFit="1" customWidth="1"/>
    <col min="5" max="5" width="16.6328125" bestFit="1" customWidth="1"/>
    <col min="6" max="6" width="23.90625" bestFit="1" customWidth="1"/>
    <col min="7" max="7" width="19.36328125" bestFit="1" customWidth="1"/>
    <col min="8" max="8" width="25.36328125" bestFit="1" customWidth="1"/>
    <col min="9" max="9" width="19.54296875" bestFit="1" customWidth="1"/>
    <col min="10" max="10" width="24.08984375" bestFit="1" customWidth="1"/>
    <col min="11" max="11" width="19" bestFit="1" customWidth="1"/>
    <col min="12" max="12" width="19.7265625" bestFit="1" customWidth="1"/>
    <col min="13" max="13" width="20.6328125" bestFit="1" customWidth="1"/>
    <col min="14" max="14" width="18.54296875" bestFit="1" customWidth="1"/>
    <col min="15" max="15" width="9.7265625" bestFit="1" customWidth="1"/>
    <col min="16" max="16" width="16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48</v>
      </c>
    </row>
    <row r="2" spans="1:17" x14ac:dyDescent="0.35">
      <c r="A2" s="1">
        <v>1503960366</v>
      </c>
      <c r="B2" s="2">
        <v>42454</v>
      </c>
      <c r="C2" s="1">
        <v>11004</v>
      </c>
      <c r="D2" s="1">
        <v>7.1100001339999999</v>
      </c>
      <c r="E2" s="1">
        <v>7.1100001339999999</v>
      </c>
      <c r="F2" s="1">
        <v>0</v>
      </c>
      <c r="G2" s="1">
        <v>2.5699999330000001</v>
      </c>
      <c r="H2" s="1">
        <v>0.46000000800000002</v>
      </c>
      <c r="I2" s="1">
        <v>4.0700001720000003</v>
      </c>
      <c r="J2" s="1">
        <v>0</v>
      </c>
      <c r="K2" s="1">
        <v>33</v>
      </c>
      <c r="L2" s="1">
        <v>12</v>
      </c>
      <c r="M2" s="1">
        <v>205</v>
      </c>
      <c r="N2" s="1">
        <v>804</v>
      </c>
      <c r="O2" s="1">
        <v>1819</v>
      </c>
      <c r="P2" s="1" t="s">
        <v>16</v>
      </c>
      <c r="Q2" t="str">
        <f>TEXT(dailyActivity_merged[[#This Row],[ActivityDate]],"dddd")</f>
        <v>Friday</v>
      </c>
    </row>
    <row r="3" spans="1:17" x14ac:dyDescent="0.35">
      <c r="A3" s="1">
        <v>1503960366</v>
      </c>
      <c r="B3" s="2">
        <v>42455</v>
      </c>
      <c r="C3" s="1">
        <v>17609</v>
      </c>
      <c r="D3" s="1">
        <v>11.55000019</v>
      </c>
      <c r="E3" s="1">
        <v>11.55000019</v>
      </c>
      <c r="F3" s="1">
        <v>0</v>
      </c>
      <c r="G3" s="1">
        <v>6.920000076</v>
      </c>
      <c r="H3" s="1">
        <v>0.730000019</v>
      </c>
      <c r="I3" s="1">
        <v>3.9100000860000002</v>
      </c>
      <c r="J3" s="1">
        <v>0</v>
      </c>
      <c r="K3" s="1">
        <v>89</v>
      </c>
      <c r="L3" s="1">
        <v>17</v>
      </c>
      <c r="M3" s="1">
        <v>274</v>
      </c>
      <c r="N3" s="1">
        <v>588</v>
      </c>
      <c r="O3" s="1">
        <v>2154</v>
      </c>
      <c r="P3" s="1" t="s">
        <v>16</v>
      </c>
      <c r="Q3" t="str">
        <f>TEXT(dailyActivity_merged[[#This Row],[ActivityDate]],"dddd")</f>
        <v>Saturday</v>
      </c>
    </row>
    <row r="4" spans="1:17" x14ac:dyDescent="0.35">
      <c r="A4" s="1">
        <v>1503960366</v>
      </c>
      <c r="B4" s="2">
        <v>42456</v>
      </c>
      <c r="C4" s="1">
        <v>12736</v>
      </c>
      <c r="D4" s="1">
        <v>8.5299997330000004</v>
      </c>
      <c r="E4" s="1">
        <v>8.5299997330000004</v>
      </c>
      <c r="F4" s="1">
        <v>0</v>
      </c>
      <c r="G4" s="1">
        <v>4.6599998469999999</v>
      </c>
      <c r="H4" s="1">
        <v>0.15999999600000001</v>
      </c>
      <c r="I4" s="1">
        <v>3.710000038</v>
      </c>
      <c r="J4" s="1">
        <v>0</v>
      </c>
      <c r="K4" s="1">
        <v>56</v>
      </c>
      <c r="L4" s="1">
        <v>5</v>
      </c>
      <c r="M4" s="1">
        <v>268</v>
      </c>
      <c r="N4" s="1">
        <v>605</v>
      </c>
      <c r="O4" s="1">
        <v>1944</v>
      </c>
      <c r="P4" s="1" t="s">
        <v>16</v>
      </c>
      <c r="Q4" t="str">
        <f>TEXT(dailyActivity_merged[[#This Row],[ActivityDate]],"dddd")</f>
        <v>Sunday</v>
      </c>
    </row>
    <row r="5" spans="1:17" x14ac:dyDescent="0.35">
      <c r="A5" s="1">
        <v>1503960366</v>
      </c>
      <c r="B5" s="2">
        <v>42457</v>
      </c>
      <c r="C5" s="1">
        <v>13231</v>
      </c>
      <c r="D5" s="1">
        <v>8.9300003050000001</v>
      </c>
      <c r="E5" s="1">
        <v>8.9300003050000001</v>
      </c>
      <c r="F5" s="1">
        <v>0</v>
      </c>
      <c r="G5" s="1">
        <v>3.1900000569999998</v>
      </c>
      <c r="H5" s="1">
        <v>0.790000021</v>
      </c>
      <c r="I5" s="1">
        <v>4.9499998090000004</v>
      </c>
      <c r="J5" s="1">
        <v>0</v>
      </c>
      <c r="K5" s="1">
        <v>39</v>
      </c>
      <c r="L5" s="1">
        <v>20</v>
      </c>
      <c r="M5" s="1">
        <v>224</v>
      </c>
      <c r="N5" s="1">
        <v>1080</v>
      </c>
      <c r="O5" s="1">
        <v>1932</v>
      </c>
      <c r="P5" s="1" t="s">
        <v>16</v>
      </c>
      <c r="Q5" t="str">
        <f>TEXT(dailyActivity_merged[[#This Row],[ActivityDate]],"dddd")</f>
        <v>Monday</v>
      </c>
    </row>
    <row r="6" spans="1:17" x14ac:dyDescent="0.35">
      <c r="A6" s="1">
        <v>1503960366</v>
      </c>
      <c r="B6" s="2">
        <v>42458</v>
      </c>
      <c r="C6" s="1">
        <v>12041</v>
      </c>
      <c r="D6" s="1">
        <v>7.8499999049999998</v>
      </c>
      <c r="E6" s="1">
        <v>7.8499999049999998</v>
      </c>
      <c r="F6" s="1">
        <v>0</v>
      </c>
      <c r="G6" s="1">
        <v>2.1600000860000002</v>
      </c>
      <c r="H6" s="1">
        <v>1.0900000329999999</v>
      </c>
      <c r="I6" s="1">
        <v>4.6100001339999999</v>
      </c>
      <c r="J6" s="1">
        <v>0</v>
      </c>
      <c r="K6" s="1">
        <v>28</v>
      </c>
      <c r="L6" s="1">
        <v>28</v>
      </c>
      <c r="M6" s="1">
        <v>243</v>
      </c>
      <c r="N6" s="1">
        <v>763</v>
      </c>
      <c r="O6" s="1">
        <v>1886</v>
      </c>
      <c r="P6" s="1" t="s">
        <v>16</v>
      </c>
      <c r="Q6" t="str">
        <f>TEXT(dailyActivity_merged[[#This Row],[ActivityDate]],"dddd")</f>
        <v>Tuesday</v>
      </c>
    </row>
    <row r="7" spans="1:17" x14ac:dyDescent="0.35">
      <c r="A7" s="1">
        <v>1503960366</v>
      </c>
      <c r="B7" s="2">
        <v>42459</v>
      </c>
      <c r="C7" s="1">
        <v>10970</v>
      </c>
      <c r="D7" s="1">
        <v>7.1599998469999999</v>
      </c>
      <c r="E7" s="1">
        <v>7.1599998469999999</v>
      </c>
      <c r="F7" s="1">
        <v>0</v>
      </c>
      <c r="G7" s="1">
        <v>2.3599998950000001</v>
      </c>
      <c r="H7" s="1">
        <v>0.50999998999999996</v>
      </c>
      <c r="I7" s="1">
        <v>4.2899999619999996</v>
      </c>
      <c r="J7" s="1">
        <v>0</v>
      </c>
      <c r="K7" s="1">
        <v>30</v>
      </c>
      <c r="L7" s="1">
        <v>13</v>
      </c>
      <c r="M7" s="1">
        <v>223</v>
      </c>
      <c r="N7" s="1">
        <v>1174</v>
      </c>
      <c r="O7" s="1">
        <v>1820</v>
      </c>
      <c r="P7" s="1" t="s">
        <v>16</v>
      </c>
      <c r="Q7" t="str">
        <f>TEXT(dailyActivity_merged[[#This Row],[ActivityDate]],"dddd")</f>
        <v>Wednesday</v>
      </c>
    </row>
    <row r="8" spans="1:17" x14ac:dyDescent="0.35">
      <c r="A8" s="1">
        <v>1503960366</v>
      </c>
      <c r="B8" s="2">
        <v>42460</v>
      </c>
      <c r="C8" s="1">
        <v>12256</v>
      </c>
      <c r="D8" s="1">
        <v>7.8600001339999999</v>
      </c>
      <c r="E8" s="1">
        <v>7.8600001339999999</v>
      </c>
      <c r="F8" s="1">
        <v>0</v>
      </c>
      <c r="G8" s="1">
        <v>2.289999962</v>
      </c>
      <c r="H8" s="1">
        <v>0.49000000999999999</v>
      </c>
      <c r="I8" s="1">
        <v>5.0399999619999996</v>
      </c>
      <c r="J8" s="1">
        <v>0</v>
      </c>
      <c r="K8" s="1">
        <v>33</v>
      </c>
      <c r="L8" s="1">
        <v>12</v>
      </c>
      <c r="M8" s="1">
        <v>239</v>
      </c>
      <c r="N8" s="1">
        <v>820</v>
      </c>
      <c r="O8" s="1">
        <v>1889</v>
      </c>
      <c r="P8" s="1" t="s">
        <v>16</v>
      </c>
      <c r="Q8" t="str">
        <f>TEXT(dailyActivity_merged[[#This Row],[ActivityDate]],"dddd")</f>
        <v>Thursday</v>
      </c>
    </row>
    <row r="9" spans="1:17" x14ac:dyDescent="0.35">
      <c r="A9" s="1">
        <v>1503960366</v>
      </c>
      <c r="B9" s="2">
        <v>42461</v>
      </c>
      <c r="C9" s="1">
        <v>12262</v>
      </c>
      <c r="D9" s="1">
        <v>7.8699998860000004</v>
      </c>
      <c r="E9" s="1">
        <v>7.8699998860000004</v>
      </c>
      <c r="F9" s="1">
        <v>0</v>
      </c>
      <c r="G9" s="1">
        <v>3.3199999330000001</v>
      </c>
      <c r="H9" s="1">
        <v>0.829999983</v>
      </c>
      <c r="I9" s="1">
        <v>3.6400001049999999</v>
      </c>
      <c r="J9" s="1">
        <v>0</v>
      </c>
      <c r="K9" s="1">
        <v>47</v>
      </c>
      <c r="L9" s="1">
        <v>21</v>
      </c>
      <c r="M9" s="1">
        <v>200</v>
      </c>
      <c r="N9" s="1">
        <v>866</v>
      </c>
      <c r="O9" s="1">
        <v>1868</v>
      </c>
      <c r="P9" s="1" t="s">
        <v>16</v>
      </c>
      <c r="Q9" t="str">
        <f>TEXT(dailyActivity_merged[[#This Row],[ActivityDate]],"dddd")</f>
        <v>Friday</v>
      </c>
    </row>
    <row r="10" spans="1:17" x14ac:dyDescent="0.35">
      <c r="A10" s="1">
        <v>1503960366</v>
      </c>
      <c r="B10" s="2">
        <v>42462</v>
      </c>
      <c r="C10" s="1">
        <v>11248</v>
      </c>
      <c r="D10" s="1">
        <v>7.25</v>
      </c>
      <c r="E10" s="1">
        <v>7.25</v>
      </c>
      <c r="F10" s="1">
        <v>0</v>
      </c>
      <c r="G10" s="1">
        <v>3</v>
      </c>
      <c r="H10" s="1">
        <v>0.44999998800000002</v>
      </c>
      <c r="I10" s="1">
        <v>3.7400000100000002</v>
      </c>
      <c r="J10" s="1">
        <v>0</v>
      </c>
      <c r="K10" s="1">
        <v>40</v>
      </c>
      <c r="L10" s="1">
        <v>11</v>
      </c>
      <c r="M10" s="1">
        <v>244</v>
      </c>
      <c r="N10" s="1">
        <v>636</v>
      </c>
      <c r="O10" s="1">
        <v>1843</v>
      </c>
      <c r="P10" s="1" t="s">
        <v>16</v>
      </c>
      <c r="Q10" t="str">
        <f>TEXT(dailyActivity_merged[[#This Row],[ActivityDate]],"dddd")</f>
        <v>Saturday</v>
      </c>
    </row>
    <row r="11" spans="1:17" x14ac:dyDescent="0.35">
      <c r="A11" s="1">
        <v>1503960366</v>
      </c>
      <c r="B11" s="2">
        <v>42463</v>
      </c>
      <c r="C11" s="1">
        <v>10016</v>
      </c>
      <c r="D11" s="1">
        <v>6.3699998860000004</v>
      </c>
      <c r="E11" s="1">
        <v>6.3699998860000004</v>
      </c>
      <c r="F11" s="1">
        <v>0</v>
      </c>
      <c r="G11" s="1">
        <v>0.91000002599999996</v>
      </c>
      <c r="H11" s="1">
        <v>1.2799999710000001</v>
      </c>
      <c r="I11" s="1">
        <v>4.1799998279999997</v>
      </c>
      <c r="J11" s="1">
        <v>0</v>
      </c>
      <c r="K11" s="1">
        <v>15</v>
      </c>
      <c r="L11" s="1">
        <v>30</v>
      </c>
      <c r="M11" s="1">
        <v>314</v>
      </c>
      <c r="N11" s="1">
        <v>655</v>
      </c>
      <c r="O11" s="1">
        <v>1850</v>
      </c>
      <c r="P11" s="1" t="s">
        <v>16</v>
      </c>
      <c r="Q11" t="str">
        <f>TEXT(dailyActivity_merged[[#This Row],[ActivityDate]],"dddd")</f>
        <v>Sunday</v>
      </c>
    </row>
    <row r="12" spans="1:17" x14ac:dyDescent="0.35">
      <c r="A12" s="1">
        <v>1503960366</v>
      </c>
      <c r="B12" s="2">
        <v>42464</v>
      </c>
      <c r="C12" s="1">
        <v>14557</v>
      </c>
      <c r="D12" s="1">
        <v>9.8000001910000005</v>
      </c>
      <c r="E12" s="1">
        <v>9.8000001910000005</v>
      </c>
      <c r="F12" s="1">
        <v>0</v>
      </c>
      <c r="G12" s="1">
        <v>3.3900001049999999</v>
      </c>
      <c r="H12" s="1">
        <v>0.69999998799999996</v>
      </c>
      <c r="I12" s="1">
        <v>5.6900000569999998</v>
      </c>
      <c r="J12" s="1">
        <v>0</v>
      </c>
      <c r="K12" s="1">
        <v>43</v>
      </c>
      <c r="L12" s="1">
        <v>18</v>
      </c>
      <c r="M12" s="1">
        <v>285</v>
      </c>
      <c r="N12" s="1">
        <v>757</v>
      </c>
      <c r="O12" s="1">
        <v>2030</v>
      </c>
      <c r="P12" s="1" t="s">
        <v>16</v>
      </c>
      <c r="Q12" t="str">
        <f>TEXT(dailyActivity_merged[[#This Row],[ActivityDate]],"dddd")</f>
        <v>Monday</v>
      </c>
    </row>
    <row r="13" spans="1:17" x14ac:dyDescent="0.35">
      <c r="A13" s="1">
        <v>1503960366</v>
      </c>
      <c r="B13" s="2">
        <v>42465</v>
      </c>
      <c r="C13" s="1">
        <v>14844</v>
      </c>
      <c r="D13" s="1">
        <v>9.7299995419999998</v>
      </c>
      <c r="E13" s="1">
        <v>9.7299995419999998</v>
      </c>
      <c r="F13" s="1">
        <v>0</v>
      </c>
      <c r="G13" s="1">
        <v>2.9400000569999998</v>
      </c>
      <c r="H13" s="1">
        <v>0.75999998999999996</v>
      </c>
      <c r="I13" s="1">
        <v>6.0399999619999996</v>
      </c>
      <c r="J13" s="1">
        <v>0</v>
      </c>
      <c r="K13" s="1">
        <v>36</v>
      </c>
      <c r="L13" s="1">
        <v>18</v>
      </c>
      <c r="M13" s="1">
        <v>341</v>
      </c>
      <c r="N13" s="1">
        <v>736</v>
      </c>
      <c r="O13" s="1">
        <v>2083</v>
      </c>
      <c r="P13" s="1" t="s">
        <v>16</v>
      </c>
      <c r="Q13" t="str">
        <f>TEXT(dailyActivity_merged[[#This Row],[ActivityDate]],"dddd")</f>
        <v>Tuesday</v>
      </c>
    </row>
    <row r="14" spans="1:17" x14ac:dyDescent="0.35">
      <c r="A14" s="1">
        <v>1503960366</v>
      </c>
      <c r="B14" s="2">
        <v>42466</v>
      </c>
      <c r="C14" s="1">
        <v>11974</v>
      </c>
      <c r="D14" s="1">
        <v>7.670000076</v>
      </c>
      <c r="E14" s="1">
        <v>7.670000076</v>
      </c>
      <c r="F14" s="1">
        <v>0</v>
      </c>
      <c r="G14" s="1">
        <v>2.039999962</v>
      </c>
      <c r="H14" s="1">
        <v>0.47999998900000002</v>
      </c>
      <c r="I14" s="1">
        <v>5.1500000950000002</v>
      </c>
      <c r="J14" s="1">
        <v>0</v>
      </c>
      <c r="K14" s="1">
        <v>27</v>
      </c>
      <c r="L14" s="1">
        <v>12</v>
      </c>
      <c r="M14" s="1">
        <v>228</v>
      </c>
      <c r="N14" s="1">
        <v>1173</v>
      </c>
      <c r="O14" s="1">
        <v>1861</v>
      </c>
      <c r="P14" s="1" t="s">
        <v>16</v>
      </c>
      <c r="Q14" t="str">
        <f>TEXT(dailyActivity_merged[[#This Row],[ActivityDate]],"dddd")</f>
        <v>Wednesday</v>
      </c>
    </row>
    <row r="15" spans="1:17" x14ac:dyDescent="0.35">
      <c r="A15" s="1">
        <v>1503960366</v>
      </c>
      <c r="B15" s="2">
        <v>42467</v>
      </c>
      <c r="C15" s="1">
        <v>10198</v>
      </c>
      <c r="D15" s="1">
        <v>6.4400000569999998</v>
      </c>
      <c r="E15" s="1">
        <v>6.4400000569999998</v>
      </c>
      <c r="F15" s="1">
        <v>0</v>
      </c>
      <c r="G15" s="1">
        <v>1.2000000479999999</v>
      </c>
      <c r="H15" s="1">
        <v>0.790000021</v>
      </c>
      <c r="I15" s="1">
        <v>4.4499998090000004</v>
      </c>
      <c r="J15" s="1">
        <v>0</v>
      </c>
      <c r="K15" s="1">
        <v>17</v>
      </c>
      <c r="L15" s="1">
        <v>20</v>
      </c>
      <c r="M15" s="1">
        <v>195</v>
      </c>
      <c r="N15" s="1">
        <v>1208</v>
      </c>
      <c r="O15" s="1">
        <v>1755</v>
      </c>
      <c r="P15" s="1" t="s">
        <v>16</v>
      </c>
      <c r="Q15" t="str">
        <f>TEXT(dailyActivity_merged[[#This Row],[ActivityDate]],"dddd")</f>
        <v>Thursday</v>
      </c>
    </row>
    <row r="16" spans="1:17" x14ac:dyDescent="0.35">
      <c r="A16" s="1">
        <v>1503960366</v>
      </c>
      <c r="B16" s="2">
        <v>42468</v>
      </c>
      <c r="C16" s="1">
        <v>12521</v>
      </c>
      <c r="D16" s="1">
        <v>7.9400000569999998</v>
      </c>
      <c r="E16" s="1">
        <v>7.9400000569999998</v>
      </c>
      <c r="F16" s="1">
        <v>0</v>
      </c>
      <c r="G16" s="1">
        <v>3.3099999430000002</v>
      </c>
      <c r="H16" s="1">
        <v>0.89999997600000003</v>
      </c>
      <c r="I16" s="1">
        <v>3.7400000100000002</v>
      </c>
      <c r="J16" s="1">
        <v>0</v>
      </c>
      <c r="K16" s="1">
        <v>46</v>
      </c>
      <c r="L16" s="1">
        <v>22</v>
      </c>
      <c r="M16" s="1">
        <v>212</v>
      </c>
      <c r="N16" s="1">
        <v>1160</v>
      </c>
      <c r="O16" s="1">
        <v>1895</v>
      </c>
      <c r="P16" s="1" t="s">
        <v>16</v>
      </c>
      <c r="Q16" t="str">
        <f>TEXT(dailyActivity_merged[[#This Row],[ActivityDate]],"dddd")</f>
        <v>Friday</v>
      </c>
    </row>
    <row r="17" spans="1:17" x14ac:dyDescent="0.35">
      <c r="A17" s="1">
        <v>1503960366</v>
      </c>
      <c r="B17" s="2">
        <v>42469</v>
      </c>
      <c r="C17" s="1">
        <v>12432</v>
      </c>
      <c r="D17" s="1">
        <v>8.1000003809999992</v>
      </c>
      <c r="E17" s="1">
        <v>8.1000003809999992</v>
      </c>
      <c r="F17" s="1">
        <v>0</v>
      </c>
      <c r="G17" s="1">
        <v>2.5899999139999998</v>
      </c>
      <c r="H17" s="1">
        <v>0.58999997400000004</v>
      </c>
      <c r="I17" s="1">
        <v>4.920000076</v>
      </c>
      <c r="J17" s="1">
        <v>0</v>
      </c>
      <c r="K17" s="1">
        <v>32</v>
      </c>
      <c r="L17" s="1">
        <v>15</v>
      </c>
      <c r="M17" s="1">
        <v>248</v>
      </c>
      <c r="N17" s="1">
        <v>738</v>
      </c>
      <c r="O17" s="1">
        <v>1883</v>
      </c>
      <c r="P17" s="1" t="s">
        <v>16</v>
      </c>
      <c r="Q17" t="str">
        <f>TEXT(dailyActivity_merged[[#This Row],[ActivityDate]],"dddd")</f>
        <v>Saturday</v>
      </c>
    </row>
    <row r="18" spans="1:17" x14ac:dyDescent="0.35">
      <c r="A18" s="1">
        <v>1503960366</v>
      </c>
      <c r="B18" s="2">
        <v>42470</v>
      </c>
      <c r="C18" s="1">
        <v>10057</v>
      </c>
      <c r="D18" s="1">
        <v>6.9800000190000002</v>
      </c>
      <c r="E18" s="1">
        <v>6.9800000190000002</v>
      </c>
      <c r="F18" s="1">
        <v>0</v>
      </c>
      <c r="G18" s="1">
        <v>4</v>
      </c>
      <c r="H18" s="1">
        <v>0.49000000999999999</v>
      </c>
      <c r="I18" s="1">
        <v>2.4800000190000002</v>
      </c>
      <c r="J18" s="1">
        <v>0</v>
      </c>
      <c r="K18" s="1">
        <v>44</v>
      </c>
      <c r="L18" s="1">
        <v>13</v>
      </c>
      <c r="M18" s="1">
        <v>168</v>
      </c>
      <c r="N18" s="1">
        <v>737</v>
      </c>
      <c r="O18" s="1">
        <v>1755</v>
      </c>
      <c r="P18" s="1" t="s">
        <v>16</v>
      </c>
      <c r="Q18" t="str">
        <f>TEXT(dailyActivity_merged[[#This Row],[ActivityDate]],"dddd")</f>
        <v>Sunday</v>
      </c>
    </row>
    <row r="19" spans="1:17" x14ac:dyDescent="0.35">
      <c r="A19" s="1">
        <v>1503960366</v>
      </c>
      <c r="B19" s="2">
        <v>42471</v>
      </c>
      <c r="C19" s="1">
        <v>10990</v>
      </c>
      <c r="D19" s="1">
        <v>7.2600002290000001</v>
      </c>
      <c r="E19" s="1">
        <v>7.2600002290000001</v>
      </c>
      <c r="F19" s="1">
        <v>0</v>
      </c>
      <c r="G19" s="1">
        <v>2.039999962</v>
      </c>
      <c r="H19" s="1">
        <v>0.56999999300000004</v>
      </c>
      <c r="I19" s="1">
        <v>4.6500000950000002</v>
      </c>
      <c r="J19" s="1">
        <v>0</v>
      </c>
      <c r="K19" s="1">
        <v>26</v>
      </c>
      <c r="L19" s="1">
        <v>14</v>
      </c>
      <c r="M19" s="1">
        <v>216</v>
      </c>
      <c r="N19" s="1">
        <v>855</v>
      </c>
      <c r="O19" s="1">
        <v>1811</v>
      </c>
      <c r="P19" s="1" t="s">
        <v>16</v>
      </c>
      <c r="Q19" t="str">
        <f>TEXT(dailyActivity_merged[[#This Row],[ActivityDate]],"dddd")</f>
        <v>Monday</v>
      </c>
    </row>
    <row r="20" spans="1:17" x14ac:dyDescent="0.35">
      <c r="A20" s="1">
        <v>1503960366</v>
      </c>
      <c r="B20" s="2">
        <v>42472</v>
      </c>
      <c r="C20" s="1">
        <v>224</v>
      </c>
      <c r="D20" s="1">
        <v>0.14000000100000001</v>
      </c>
      <c r="E20" s="1">
        <v>0.14000000100000001</v>
      </c>
      <c r="F20" s="1">
        <v>0</v>
      </c>
      <c r="G20" s="1">
        <v>0</v>
      </c>
      <c r="H20" s="1">
        <v>0</v>
      </c>
      <c r="I20" s="1">
        <v>0.12999999500000001</v>
      </c>
      <c r="J20" s="1">
        <v>0</v>
      </c>
      <c r="K20" s="1">
        <v>0</v>
      </c>
      <c r="L20" s="1">
        <v>0</v>
      </c>
      <c r="M20" s="1">
        <v>9</v>
      </c>
      <c r="N20" s="1">
        <v>32</v>
      </c>
      <c r="O20" s="1">
        <v>50</v>
      </c>
      <c r="P20" s="1" t="s">
        <v>17</v>
      </c>
      <c r="Q20" t="str">
        <f>TEXT(dailyActivity_merged[[#This Row],[ActivityDate]],"dddd")</f>
        <v>Tuesday</v>
      </c>
    </row>
    <row r="21" spans="1:17" x14ac:dyDescent="0.35">
      <c r="A21" s="1">
        <v>1624580081</v>
      </c>
      <c r="B21" s="2">
        <v>42454</v>
      </c>
      <c r="C21" s="1">
        <v>1810</v>
      </c>
      <c r="D21" s="1">
        <v>1.1799999480000001</v>
      </c>
      <c r="E21" s="1">
        <v>1.1799999480000001</v>
      </c>
      <c r="F21" s="1">
        <v>0</v>
      </c>
      <c r="G21" s="1">
        <v>0</v>
      </c>
      <c r="H21" s="1">
        <v>0</v>
      </c>
      <c r="I21" s="1">
        <v>1.1299999949999999</v>
      </c>
      <c r="J21" s="1">
        <v>0.01</v>
      </c>
      <c r="K21" s="1">
        <v>0</v>
      </c>
      <c r="L21" s="1">
        <v>0</v>
      </c>
      <c r="M21" s="1">
        <v>121</v>
      </c>
      <c r="N21" s="1">
        <v>1319</v>
      </c>
      <c r="O21" s="1">
        <v>1373</v>
      </c>
      <c r="P21" s="1" t="s">
        <v>17</v>
      </c>
      <c r="Q21" t="str">
        <f>TEXT(dailyActivity_merged[[#This Row],[ActivityDate]],"dddd")</f>
        <v>Friday</v>
      </c>
    </row>
    <row r="22" spans="1:17" x14ac:dyDescent="0.35">
      <c r="A22" s="1">
        <v>1624580081</v>
      </c>
      <c r="B22" s="2">
        <v>42455</v>
      </c>
      <c r="C22" s="1">
        <v>815</v>
      </c>
      <c r="D22" s="1">
        <v>0.52999997099999996</v>
      </c>
      <c r="E22" s="1">
        <v>0.52999997099999996</v>
      </c>
      <c r="F22" s="1">
        <v>0</v>
      </c>
      <c r="G22" s="1">
        <v>0</v>
      </c>
      <c r="H22" s="1">
        <v>0</v>
      </c>
      <c r="I22" s="1">
        <v>0.52999997099999996</v>
      </c>
      <c r="J22" s="1">
        <v>0</v>
      </c>
      <c r="K22" s="1">
        <v>0</v>
      </c>
      <c r="L22" s="1">
        <v>0</v>
      </c>
      <c r="M22" s="1">
        <v>47</v>
      </c>
      <c r="N22" s="1">
        <v>1393</v>
      </c>
      <c r="O22" s="1">
        <v>1264</v>
      </c>
      <c r="P22" s="1" t="s">
        <v>17</v>
      </c>
      <c r="Q22" t="str">
        <f>TEXT(dailyActivity_merged[[#This Row],[ActivityDate]],"dddd")</f>
        <v>Saturday</v>
      </c>
    </row>
    <row r="23" spans="1:17" x14ac:dyDescent="0.35">
      <c r="A23" s="1">
        <v>1624580081</v>
      </c>
      <c r="B23" s="2">
        <v>42456</v>
      </c>
      <c r="C23" s="1">
        <v>1985</v>
      </c>
      <c r="D23" s="1">
        <v>1.289999962</v>
      </c>
      <c r="E23" s="1">
        <v>1.289999962</v>
      </c>
      <c r="F23" s="1">
        <v>0</v>
      </c>
      <c r="G23" s="1">
        <v>0</v>
      </c>
      <c r="H23" s="1">
        <v>0</v>
      </c>
      <c r="I23" s="1">
        <v>1.2799999710000001</v>
      </c>
      <c r="J23" s="1">
        <v>0.01</v>
      </c>
      <c r="K23" s="1">
        <v>0</v>
      </c>
      <c r="L23" s="1">
        <v>0</v>
      </c>
      <c r="M23" s="1">
        <v>112</v>
      </c>
      <c r="N23" s="1">
        <v>1328</v>
      </c>
      <c r="O23" s="1">
        <v>1350</v>
      </c>
      <c r="P23" s="1" t="s">
        <v>17</v>
      </c>
      <c r="Q23" t="str">
        <f>TEXT(dailyActivity_merged[[#This Row],[ActivityDate]],"dddd")</f>
        <v>Sunday</v>
      </c>
    </row>
    <row r="24" spans="1:17" x14ac:dyDescent="0.35">
      <c r="A24" s="1">
        <v>1624580081</v>
      </c>
      <c r="B24" s="2">
        <v>42457</v>
      </c>
      <c r="C24" s="1">
        <v>1905</v>
      </c>
      <c r="D24" s="1">
        <v>1.2400000099999999</v>
      </c>
      <c r="E24" s="1">
        <v>1.2400000099999999</v>
      </c>
      <c r="F24" s="1">
        <v>0</v>
      </c>
      <c r="G24" s="1">
        <v>0</v>
      </c>
      <c r="H24" s="1">
        <v>0</v>
      </c>
      <c r="I24" s="1">
        <v>1.2400000099999999</v>
      </c>
      <c r="J24" s="1">
        <v>0</v>
      </c>
      <c r="K24" s="1">
        <v>0</v>
      </c>
      <c r="L24" s="1">
        <v>0</v>
      </c>
      <c r="M24" s="1">
        <v>95</v>
      </c>
      <c r="N24" s="1">
        <v>1345</v>
      </c>
      <c r="O24" s="1">
        <v>1342</v>
      </c>
      <c r="P24" s="1" t="s">
        <v>17</v>
      </c>
      <c r="Q24" t="str">
        <f>TEXT(dailyActivity_merged[[#This Row],[ActivityDate]],"dddd")</f>
        <v>Monday</v>
      </c>
    </row>
    <row r="25" spans="1:17" x14ac:dyDescent="0.35">
      <c r="A25" s="1">
        <v>1624580081</v>
      </c>
      <c r="B25" s="2">
        <v>42458</v>
      </c>
      <c r="C25" s="1">
        <v>1552</v>
      </c>
      <c r="D25" s="1">
        <v>1.0099999900000001</v>
      </c>
      <c r="E25" s="1">
        <v>1.0099999900000001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66</v>
      </c>
      <c r="N25" s="1">
        <v>1374</v>
      </c>
      <c r="O25" s="1">
        <v>1300</v>
      </c>
      <c r="P25" s="1" t="s">
        <v>17</v>
      </c>
      <c r="Q25" t="str">
        <f>TEXT(dailyActivity_merged[[#This Row],[ActivityDate]],"dddd")</f>
        <v>Tuesday</v>
      </c>
    </row>
    <row r="26" spans="1:17" x14ac:dyDescent="0.35">
      <c r="A26" s="1">
        <v>1624580081</v>
      </c>
      <c r="B26" s="2">
        <v>42459</v>
      </c>
      <c r="C26" s="1">
        <v>1675</v>
      </c>
      <c r="D26" s="1">
        <v>1.0900000329999999</v>
      </c>
      <c r="E26" s="1">
        <v>1.0900000329999999</v>
      </c>
      <c r="F26" s="1">
        <v>0</v>
      </c>
      <c r="G26" s="1">
        <v>0</v>
      </c>
      <c r="H26" s="1">
        <v>0</v>
      </c>
      <c r="I26" s="1">
        <v>1.0900000329999999</v>
      </c>
      <c r="J26" s="1">
        <v>0</v>
      </c>
      <c r="K26" s="1">
        <v>0</v>
      </c>
      <c r="L26" s="1">
        <v>0</v>
      </c>
      <c r="M26" s="1">
        <v>84</v>
      </c>
      <c r="N26" s="1">
        <v>1356</v>
      </c>
      <c r="O26" s="1">
        <v>1313</v>
      </c>
      <c r="P26" s="1" t="s">
        <v>17</v>
      </c>
      <c r="Q26" t="str">
        <f>TEXT(dailyActivity_merged[[#This Row],[ActivityDate]],"dddd")</f>
        <v>Wednesday</v>
      </c>
    </row>
    <row r="27" spans="1:17" x14ac:dyDescent="0.35">
      <c r="A27" s="1">
        <v>1624580081</v>
      </c>
      <c r="B27" s="2">
        <v>42460</v>
      </c>
      <c r="C27" s="1">
        <v>4506</v>
      </c>
      <c r="D27" s="1">
        <v>2.9300000669999999</v>
      </c>
      <c r="E27" s="1">
        <v>2.9300000669999999</v>
      </c>
      <c r="F27" s="1">
        <v>0</v>
      </c>
      <c r="G27" s="1">
        <v>0.50999998999999996</v>
      </c>
      <c r="H27" s="1">
        <v>0.27000001099999998</v>
      </c>
      <c r="I27" s="1">
        <v>2.1500000950000002</v>
      </c>
      <c r="J27" s="1">
        <v>0.01</v>
      </c>
      <c r="K27" s="1">
        <v>7</v>
      </c>
      <c r="L27" s="1">
        <v>4</v>
      </c>
      <c r="M27" s="1">
        <v>144</v>
      </c>
      <c r="N27" s="1">
        <v>1285</v>
      </c>
      <c r="O27" s="1">
        <v>1498</v>
      </c>
      <c r="P27" s="1" t="s">
        <v>17</v>
      </c>
      <c r="Q27" t="str">
        <f>TEXT(dailyActivity_merged[[#This Row],[ActivityDate]],"dddd")</f>
        <v>Thursday</v>
      </c>
    </row>
    <row r="28" spans="1:17" x14ac:dyDescent="0.35">
      <c r="A28" s="1">
        <v>1624580081</v>
      </c>
      <c r="B28" s="2">
        <v>42461</v>
      </c>
      <c r="C28" s="1">
        <v>9218</v>
      </c>
      <c r="D28" s="1">
        <v>5.9899997709999999</v>
      </c>
      <c r="E28" s="1">
        <v>5.9899997709999999</v>
      </c>
      <c r="F28" s="1">
        <v>0</v>
      </c>
      <c r="G28" s="1">
        <v>0</v>
      </c>
      <c r="H28" s="1">
        <v>0</v>
      </c>
      <c r="I28" s="1">
        <v>5.9699997900000001</v>
      </c>
      <c r="J28" s="1">
        <v>0.01</v>
      </c>
      <c r="K28" s="1">
        <v>0</v>
      </c>
      <c r="L28" s="1">
        <v>0</v>
      </c>
      <c r="M28" s="1">
        <v>221</v>
      </c>
      <c r="N28" s="1">
        <v>1219</v>
      </c>
      <c r="O28" s="1">
        <v>1541</v>
      </c>
      <c r="P28" s="1" t="s">
        <v>18</v>
      </c>
      <c r="Q28" t="str">
        <f>TEXT(dailyActivity_merged[[#This Row],[ActivityDate]],"dddd")</f>
        <v>Friday</v>
      </c>
    </row>
    <row r="29" spans="1:17" x14ac:dyDescent="0.35">
      <c r="A29" s="1">
        <v>1624580081</v>
      </c>
      <c r="B29" s="2">
        <v>42462</v>
      </c>
      <c r="C29" s="1">
        <v>1556</v>
      </c>
      <c r="D29" s="1">
        <v>1.0099999900000001</v>
      </c>
      <c r="E29" s="1">
        <v>1.0099999900000001</v>
      </c>
      <c r="F29" s="1">
        <v>0</v>
      </c>
      <c r="G29" s="1">
        <v>0</v>
      </c>
      <c r="H29" s="1">
        <v>0</v>
      </c>
      <c r="I29" s="1">
        <v>1.0099999900000001</v>
      </c>
      <c r="J29" s="1">
        <v>0.01</v>
      </c>
      <c r="K29" s="1">
        <v>0</v>
      </c>
      <c r="L29" s="1">
        <v>0</v>
      </c>
      <c r="M29" s="1">
        <v>88</v>
      </c>
      <c r="N29" s="1">
        <v>1352</v>
      </c>
      <c r="O29" s="1">
        <v>1327</v>
      </c>
      <c r="P29" s="1" t="s">
        <v>17</v>
      </c>
      <c r="Q29" t="str">
        <f>TEXT(dailyActivity_merged[[#This Row],[ActivityDate]],"dddd")</f>
        <v>Saturday</v>
      </c>
    </row>
    <row r="30" spans="1:17" x14ac:dyDescent="0.35">
      <c r="A30" s="1">
        <v>1624580081</v>
      </c>
      <c r="B30" s="2">
        <v>42463</v>
      </c>
      <c r="C30" s="1">
        <v>2910</v>
      </c>
      <c r="D30" s="1">
        <v>1.8899999860000001</v>
      </c>
      <c r="E30" s="1">
        <v>1.8899999860000001</v>
      </c>
      <c r="F30" s="1">
        <v>0</v>
      </c>
      <c r="G30" s="1">
        <v>0</v>
      </c>
      <c r="H30" s="1">
        <v>0</v>
      </c>
      <c r="I30" s="1">
        <v>1.8799999949999999</v>
      </c>
      <c r="J30" s="1">
        <v>0.01</v>
      </c>
      <c r="K30" s="1">
        <v>0</v>
      </c>
      <c r="L30" s="1">
        <v>0</v>
      </c>
      <c r="M30" s="1">
        <v>157</v>
      </c>
      <c r="N30" s="1">
        <v>1283</v>
      </c>
      <c r="O30" s="1">
        <v>1452</v>
      </c>
      <c r="P30" s="1" t="s">
        <v>17</v>
      </c>
      <c r="Q30" t="str">
        <f>TEXT(dailyActivity_merged[[#This Row],[ActivityDate]],"dddd")</f>
        <v>Sunday</v>
      </c>
    </row>
    <row r="31" spans="1:17" x14ac:dyDescent="0.35">
      <c r="A31" s="1">
        <v>1624580081</v>
      </c>
      <c r="B31" s="2">
        <v>42464</v>
      </c>
      <c r="C31" s="1">
        <v>18464</v>
      </c>
      <c r="D31" s="1">
        <v>12</v>
      </c>
      <c r="E31" s="1">
        <v>12</v>
      </c>
      <c r="F31" s="1">
        <v>0</v>
      </c>
      <c r="G31" s="1">
        <v>0</v>
      </c>
      <c r="H31" s="1">
        <v>0</v>
      </c>
      <c r="I31" s="1">
        <v>12</v>
      </c>
      <c r="J31" s="1">
        <v>0</v>
      </c>
      <c r="K31" s="1">
        <v>0</v>
      </c>
      <c r="L31" s="1">
        <v>0</v>
      </c>
      <c r="M31" s="1">
        <v>270</v>
      </c>
      <c r="N31" s="1">
        <v>1170</v>
      </c>
      <c r="O31" s="1">
        <v>1574</v>
      </c>
      <c r="P31" s="1" t="s">
        <v>16</v>
      </c>
      <c r="Q31" t="str">
        <f>TEXT(dailyActivity_merged[[#This Row],[ActivityDate]],"dddd")</f>
        <v>Monday</v>
      </c>
    </row>
    <row r="32" spans="1:17" x14ac:dyDescent="0.35">
      <c r="A32" s="1">
        <v>1624580081</v>
      </c>
      <c r="B32" s="2">
        <v>42465</v>
      </c>
      <c r="C32" s="1">
        <v>1335</v>
      </c>
      <c r="D32" s="1">
        <v>0.87000000499999997</v>
      </c>
      <c r="E32" s="1">
        <v>0.87000000499999997</v>
      </c>
      <c r="F32" s="1">
        <v>0</v>
      </c>
      <c r="G32" s="1">
        <v>0</v>
      </c>
      <c r="H32" s="1">
        <v>0</v>
      </c>
      <c r="I32" s="1">
        <v>0.87000000499999997</v>
      </c>
      <c r="J32" s="1">
        <v>0</v>
      </c>
      <c r="K32" s="1">
        <v>0</v>
      </c>
      <c r="L32" s="1">
        <v>0</v>
      </c>
      <c r="M32" s="1">
        <v>74</v>
      </c>
      <c r="N32" s="1">
        <v>1366</v>
      </c>
      <c r="O32" s="1">
        <v>1308</v>
      </c>
      <c r="P32" s="1" t="s">
        <v>17</v>
      </c>
      <c r="Q32" t="str">
        <f>TEXT(dailyActivity_merged[[#This Row],[ActivityDate]],"dddd")</f>
        <v>Tuesday</v>
      </c>
    </row>
    <row r="33" spans="1:17" x14ac:dyDescent="0.35">
      <c r="A33" s="1">
        <v>1624580081</v>
      </c>
      <c r="B33" s="2">
        <v>42466</v>
      </c>
      <c r="C33" s="1">
        <v>1004</v>
      </c>
      <c r="D33" s="1">
        <v>0.64999997600000003</v>
      </c>
      <c r="E33" s="1">
        <v>0.64999997600000003</v>
      </c>
      <c r="F33" s="1">
        <v>0</v>
      </c>
      <c r="G33" s="1">
        <v>0</v>
      </c>
      <c r="H33" s="1">
        <v>0</v>
      </c>
      <c r="I33" s="1">
        <v>0.64999997600000003</v>
      </c>
      <c r="J33" s="1">
        <v>0</v>
      </c>
      <c r="K33" s="1">
        <v>0</v>
      </c>
      <c r="L33" s="1">
        <v>0</v>
      </c>
      <c r="M33" s="1">
        <v>55</v>
      </c>
      <c r="N33" s="1">
        <v>1385</v>
      </c>
      <c r="O33" s="1">
        <v>1276</v>
      </c>
      <c r="P33" s="1" t="s">
        <v>17</v>
      </c>
      <c r="Q33" t="str">
        <f>TEXT(dailyActivity_merged[[#This Row],[ActivityDate]],"dddd")</f>
        <v>Wednesday</v>
      </c>
    </row>
    <row r="34" spans="1:17" x14ac:dyDescent="0.35">
      <c r="A34" s="1">
        <v>1624580081</v>
      </c>
      <c r="B34" s="2">
        <v>42467</v>
      </c>
      <c r="C34" s="1">
        <v>1111</v>
      </c>
      <c r="D34" s="1">
        <v>0.72000002900000004</v>
      </c>
      <c r="E34" s="1">
        <v>0.72000002900000004</v>
      </c>
      <c r="F34" s="1">
        <v>0</v>
      </c>
      <c r="G34" s="1">
        <v>0</v>
      </c>
      <c r="H34" s="1">
        <v>0</v>
      </c>
      <c r="I34" s="1">
        <v>0.72000002900000004</v>
      </c>
      <c r="J34" s="1">
        <v>0</v>
      </c>
      <c r="K34" s="1">
        <v>0</v>
      </c>
      <c r="L34" s="1">
        <v>0</v>
      </c>
      <c r="M34" s="1">
        <v>54</v>
      </c>
      <c r="N34" s="1">
        <v>1386</v>
      </c>
      <c r="O34" s="1">
        <v>1278</v>
      </c>
      <c r="P34" s="1" t="s">
        <v>17</v>
      </c>
      <c r="Q34" t="str">
        <f>TEXT(dailyActivity_merged[[#This Row],[ActivityDate]],"dddd")</f>
        <v>Thursday</v>
      </c>
    </row>
    <row r="35" spans="1:17" x14ac:dyDescent="0.35">
      <c r="A35" s="1">
        <v>1624580081</v>
      </c>
      <c r="B35" s="2">
        <v>42468</v>
      </c>
      <c r="C35" s="1">
        <v>6344</v>
      </c>
      <c r="D35" s="1">
        <v>4.1199998860000004</v>
      </c>
      <c r="E35" s="1">
        <v>4.1199998860000004</v>
      </c>
      <c r="F35" s="1">
        <v>0</v>
      </c>
      <c r="G35" s="1">
        <v>0</v>
      </c>
      <c r="H35" s="1">
        <v>0</v>
      </c>
      <c r="I35" s="1">
        <v>4.0999999049999998</v>
      </c>
      <c r="J35" s="1">
        <v>0</v>
      </c>
      <c r="K35" s="1">
        <v>0</v>
      </c>
      <c r="L35" s="1">
        <v>0</v>
      </c>
      <c r="M35" s="1">
        <v>143</v>
      </c>
      <c r="N35" s="1">
        <v>1297</v>
      </c>
      <c r="O35" s="1">
        <v>1409</v>
      </c>
      <c r="P35" s="1" t="s">
        <v>19</v>
      </c>
      <c r="Q35" t="str">
        <f>TEXT(dailyActivity_merged[[#This Row],[ActivityDate]],"dddd")</f>
        <v>Friday</v>
      </c>
    </row>
    <row r="36" spans="1:17" x14ac:dyDescent="0.35">
      <c r="A36" s="1">
        <v>1624580081</v>
      </c>
      <c r="B36" s="2">
        <v>42469</v>
      </c>
      <c r="C36" s="1">
        <v>3572</v>
      </c>
      <c r="D36" s="1">
        <v>2.3199999330000001</v>
      </c>
      <c r="E36" s="1">
        <v>2.3199999330000001</v>
      </c>
      <c r="F36" s="1">
        <v>0</v>
      </c>
      <c r="G36" s="1">
        <v>0</v>
      </c>
      <c r="H36" s="1">
        <v>0</v>
      </c>
      <c r="I36" s="1">
        <v>2.289999962</v>
      </c>
      <c r="J36" s="1">
        <v>2.9999998999999999E-2</v>
      </c>
      <c r="K36" s="1">
        <v>0</v>
      </c>
      <c r="L36" s="1">
        <v>0</v>
      </c>
      <c r="M36" s="1">
        <v>122</v>
      </c>
      <c r="N36" s="1">
        <v>1318</v>
      </c>
      <c r="O36" s="1">
        <v>1370</v>
      </c>
      <c r="P36" s="1" t="s">
        <v>17</v>
      </c>
      <c r="Q36" t="str">
        <f>TEXT(dailyActivity_merged[[#This Row],[ActivityDate]],"dddd")</f>
        <v>Saturday</v>
      </c>
    </row>
    <row r="37" spans="1:17" x14ac:dyDescent="0.35">
      <c r="A37" s="1">
        <v>1624580081</v>
      </c>
      <c r="B37" s="2">
        <v>42470</v>
      </c>
      <c r="C37" s="1">
        <v>3910</v>
      </c>
      <c r="D37" s="1">
        <v>2.539999962</v>
      </c>
      <c r="E37" s="1">
        <v>2.539999962</v>
      </c>
      <c r="F37" s="1">
        <v>0</v>
      </c>
      <c r="G37" s="1">
        <v>0.469999999</v>
      </c>
      <c r="H37" s="1">
        <v>0.25</v>
      </c>
      <c r="I37" s="1">
        <v>1.809999943</v>
      </c>
      <c r="J37" s="1">
        <v>0.01</v>
      </c>
      <c r="K37" s="1">
        <v>7</v>
      </c>
      <c r="L37" s="1">
        <v>7</v>
      </c>
      <c r="M37" s="1">
        <v>186</v>
      </c>
      <c r="N37" s="1">
        <v>1240</v>
      </c>
      <c r="O37" s="1">
        <v>1555</v>
      </c>
      <c r="P37" s="1" t="s">
        <v>17</v>
      </c>
      <c r="Q37" t="str">
        <f>TEXT(dailyActivity_merged[[#This Row],[ActivityDate]],"dddd")</f>
        <v>Sunday</v>
      </c>
    </row>
    <row r="38" spans="1:17" x14ac:dyDescent="0.35">
      <c r="A38" s="1">
        <v>1624580081</v>
      </c>
      <c r="B38" s="2">
        <v>42471</v>
      </c>
      <c r="C38" s="1">
        <v>10000</v>
      </c>
      <c r="D38" s="1">
        <v>6.5</v>
      </c>
      <c r="E38" s="1">
        <v>6.5</v>
      </c>
      <c r="F38" s="1">
        <v>0</v>
      </c>
      <c r="G38" s="1">
        <v>0</v>
      </c>
      <c r="H38" s="1">
        <v>0</v>
      </c>
      <c r="I38" s="1">
        <v>6.5</v>
      </c>
      <c r="J38" s="1">
        <v>0</v>
      </c>
      <c r="K38" s="1">
        <v>0</v>
      </c>
      <c r="L38" s="1">
        <v>0</v>
      </c>
      <c r="M38" s="1">
        <v>172</v>
      </c>
      <c r="N38" s="1">
        <v>1268</v>
      </c>
      <c r="O38" s="1">
        <v>1469</v>
      </c>
      <c r="P38" s="1" t="s">
        <v>16</v>
      </c>
      <c r="Q38" t="str">
        <f>TEXT(dailyActivity_merged[[#This Row],[ActivityDate]],"dddd")</f>
        <v>Monday</v>
      </c>
    </row>
    <row r="39" spans="1:17" x14ac:dyDescent="0.35">
      <c r="A39" s="1">
        <v>1624580081</v>
      </c>
      <c r="B39" s="2">
        <v>42472</v>
      </c>
      <c r="C39" s="1">
        <v>6627</v>
      </c>
      <c r="D39" s="1">
        <v>4.3099999430000002</v>
      </c>
      <c r="E39" s="1">
        <v>4.3099999430000002</v>
      </c>
      <c r="F39" s="1">
        <v>0</v>
      </c>
      <c r="G39" s="1">
        <v>0</v>
      </c>
      <c r="H39" s="1">
        <v>0</v>
      </c>
      <c r="I39" s="1">
        <v>4.3099999430000002</v>
      </c>
      <c r="J39" s="1">
        <v>0</v>
      </c>
      <c r="K39" s="1">
        <v>0</v>
      </c>
      <c r="L39" s="1">
        <v>0</v>
      </c>
      <c r="M39" s="1">
        <v>89</v>
      </c>
      <c r="N39" s="1">
        <v>604</v>
      </c>
      <c r="O39" s="1">
        <v>706</v>
      </c>
      <c r="P39" s="1" t="s">
        <v>19</v>
      </c>
      <c r="Q39" t="str">
        <f>TEXT(dailyActivity_merged[[#This Row],[ActivityDate]],"dddd")</f>
        <v>Tuesday</v>
      </c>
    </row>
    <row r="40" spans="1:17" x14ac:dyDescent="0.35">
      <c r="A40" s="1">
        <v>1644430081</v>
      </c>
      <c r="B40" s="2">
        <v>42461</v>
      </c>
      <c r="C40" s="1">
        <v>4636</v>
      </c>
      <c r="D40" s="1">
        <v>3.4100000860000002</v>
      </c>
      <c r="E40" s="1">
        <v>3.4100000860000002</v>
      </c>
      <c r="F40" s="1">
        <v>0</v>
      </c>
      <c r="G40" s="1">
        <v>0</v>
      </c>
      <c r="H40" s="1">
        <v>0.77999997099999996</v>
      </c>
      <c r="I40" s="1">
        <v>2.5999999049999998</v>
      </c>
      <c r="J40" s="1">
        <v>2.9999998999999999E-2</v>
      </c>
      <c r="K40" s="1">
        <v>0</v>
      </c>
      <c r="L40" s="1">
        <v>16</v>
      </c>
      <c r="M40" s="1">
        <v>586</v>
      </c>
      <c r="N40" s="1">
        <v>838</v>
      </c>
      <c r="O40" s="1">
        <v>3323</v>
      </c>
      <c r="P40" s="1" t="s">
        <v>17</v>
      </c>
      <c r="Q40" t="str">
        <f>TEXT(dailyActivity_merged[[#This Row],[ActivityDate]],"dddd")</f>
        <v>Friday</v>
      </c>
    </row>
    <row r="41" spans="1:17" x14ac:dyDescent="0.35">
      <c r="A41" s="1">
        <v>1644430081</v>
      </c>
      <c r="B41" s="2">
        <v>42462</v>
      </c>
      <c r="C41" s="1">
        <v>20237</v>
      </c>
      <c r="D41" s="1">
        <v>14.710000040000001</v>
      </c>
      <c r="E41" s="1">
        <v>14.710000040000001</v>
      </c>
      <c r="F41" s="1">
        <v>0</v>
      </c>
      <c r="G41" s="1">
        <v>2.5699999330000001</v>
      </c>
      <c r="H41" s="1">
        <v>6.4000000950000002</v>
      </c>
      <c r="I41" s="1">
        <v>5.7300000190000002</v>
      </c>
      <c r="J41" s="1">
        <v>0.01</v>
      </c>
      <c r="K41" s="1">
        <v>34</v>
      </c>
      <c r="L41" s="1">
        <v>141</v>
      </c>
      <c r="M41" s="1">
        <v>347</v>
      </c>
      <c r="N41" s="1">
        <v>918</v>
      </c>
      <c r="O41" s="1">
        <v>4029</v>
      </c>
      <c r="P41" s="1" t="s">
        <v>16</v>
      </c>
      <c r="Q41" t="str">
        <f>TEXT(dailyActivity_merged[[#This Row],[ActivityDate]],"dddd")</f>
        <v>Saturday</v>
      </c>
    </row>
    <row r="42" spans="1:17" x14ac:dyDescent="0.35">
      <c r="A42" s="1">
        <v>1644430081</v>
      </c>
      <c r="B42" s="2">
        <v>42463</v>
      </c>
      <c r="C42" s="1">
        <v>12912</v>
      </c>
      <c r="D42" s="1">
        <v>9.4099998469999999</v>
      </c>
      <c r="E42" s="1">
        <v>9.4099998469999999</v>
      </c>
      <c r="F42" s="1">
        <v>0</v>
      </c>
      <c r="G42" s="1">
        <v>4.829999924</v>
      </c>
      <c r="H42" s="1">
        <v>0.769999981</v>
      </c>
      <c r="I42" s="1">
        <v>3.789999962</v>
      </c>
      <c r="J42" s="1">
        <v>2.9999998999999999E-2</v>
      </c>
      <c r="K42" s="1">
        <v>59</v>
      </c>
      <c r="L42" s="1">
        <v>16</v>
      </c>
      <c r="M42" s="1">
        <v>283</v>
      </c>
      <c r="N42" s="1">
        <v>1082</v>
      </c>
      <c r="O42" s="1">
        <v>3436</v>
      </c>
      <c r="P42" s="1" t="s">
        <v>16</v>
      </c>
      <c r="Q42" t="str">
        <f>TEXT(dailyActivity_merged[[#This Row],[ActivityDate]],"dddd")</f>
        <v>Sunday</v>
      </c>
    </row>
    <row r="43" spans="1:17" x14ac:dyDescent="0.35">
      <c r="A43" s="1">
        <v>1644430081</v>
      </c>
      <c r="B43" s="2">
        <v>42464</v>
      </c>
      <c r="C43" s="1">
        <v>2819</v>
      </c>
      <c r="D43" s="1">
        <v>2.0499999519999998</v>
      </c>
      <c r="E43" s="1">
        <v>2.0499999519999998</v>
      </c>
      <c r="F43" s="1">
        <v>0</v>
      </c>
      <c r="G43" s="1">
        <v>0.310000002</v>
      </c>
      <c r="H43" s="1">
        <v>0.17000000200000001</v>
      </c>
      <c r="I43" s="1">
        <v>1.559999943</v>
      </c>
      <c r="J43" s="1">
        <v>0.01</v>
      </c>
      <c r="K43" s="1">
        <v>4</v>
      </c>
      <c r="L43" s="1">
        <v>4</v>
      </c>
      <c r="M43" s="1">
        <v>87</v>
      </c>
      <c r="N43" s="1">
        <v>1345</v>
      </c>
      <c r="O43" s="1">
        <v>2444</v>
      </c>
      <c r="P43" s="1" t="s">
        <v>17</v>
      </c>
      <c r="Q43" t="str">
        <f>TEXT(dailyActivity_merged[[#This Row],[ActivityDate]],"dddd")</f>
        <v>Monday</v>
      </c>
    </row>
    <row r="44" spans="1:17" x14ac:dyDescent="0.35">
      <c r="A44" s="1">
        <v>1644430081</v>
      </c>
      <c r="B44" s="2">
        <v>42465</v>
      </c>
      <c r="C44" s="1">
        <v>9921</v>
      </c>
      <c r="D44" s="1">
        <v>7.2100000380000004</v>
      </c>
      <c r="E44" s="1">
        <v>7.2100000380000004</v>
      </c>
      <c r="F44" s="1">
        <v>0</v>
      </c>
      <c r="G44" s="1">
        <v>0.34000000400000002</v>
      </c>
      <c r="H44" s="1">
        <v>1.519999981</v>
      </c>
      <c r="I44" s="1">
        <v>5.3600001339999999</v>
      </c>
      <c r="J44" s="1">
        <v>0</v>
      </c>
      <c r="K44" s="1">
        <v>5</v>
      </c>
      <c r="L44" s="1">
        <v>35</v>
      </c>
      <c r="M44" s="1">
        <v>219</v>
      </c>
      <c r="N44" s="1">
        <v>1181</v>
      </c>
      <c r="O44" s="1">
        <v>3098</v>
      </c>
      <c r="P44" s="1" t="s">
        <v>18</v>
      </c>
      <c r="Q44" t="str">
        <f>TEXT(dailyActivity_merged[[#This Row],[ActivityDate]],"dddd")</f>
        <v>Tuesday</v>
      </c>
    </row>
    <row r="45" spans="1:17" x14ac:dyDescent="0.35">
      <c r="A45" s="1">
        <v>1644430081</v>
      </c>
      <c r="B45" s="2">
        <v>42466</v>
      </c>
      <c r="C45" s="1">
        <v>8046</v>
      </c>
      <c r="D45" s="1">
        <v>5.8499999049999998</v>
      </c>
      <c r="E45" s="1">
        <v>5.8499999049999998</v>
      </c>
      <c r="F45" s="1">
        <v>0</v>
      </c>
      <c r="G45" s="1">
        <v>1.289999962</v>
      </c>
      <c r="H45" s="1">
        <v>2.119999886</v>
      </c>
      <c r="I45" s="1">
        <v>2.4500000480000002</v>
      </c>
      <c r="J45" s="1">
        <v>0</v>
      </c>
      <c r="K45" s="1">
        <v>18</v>
      </c>
      <c r="L45" s="1">
        <v>41</v>
      </c>
      <c r="M45" s="1">
        <v>137</v>
      </c>
      <c r="N45" s="1">
        <v>1244</v>
      </c>
      <c r="O45" s="1">
        <v>2925</v>
      </c>
      <c r="P45" s="1" t="s">
        <v>18</v>
      </c>
      <c r="Q45" t="str">
        <f>TEXT(dailyActivity_merged[[#This Row],[ActivityDate]],"dddd")</f>
        <v>Wednesday</v>
      </c>
    </row>
    <row r="46" spans="1:17" x14ac:dyDescent="0.35">
      <c r="A46" s="1">
        <v>1644430081</v>
      </c>
      <c r="B46" s="2">
        <v>42467</v>
      </c>
      <c r="C46" s="1">
        <v>11166</v>
      </c>
      <c r="D46" s="1">
        <v>8.1199998860000004</v>
      </c>
      <c r="E46" s="1">
        <v>8.1199998860000004</v>
      </c>
      <c r="F46" s="1">
        <v>0</v>
      </c>
      <c r="G46" s="1">
        <v>0.209999993</v>
      </c>
      <c r="H46" s="1">
        <v>2.4100000860000002</v>
      </c>
      <c r="I46" s="1">
        <v>5.5</v>
      </c>
      <c r="J46" s="1">
        <v>0</v>
      </c>
      <c r="K46" s="1">
        <v>3</v>
      </c>
      <c r="L46" s="1">
        <v>58</v>
      </c>
      <c r="M46" s="1">
        <v>230</v>
      </c>
      <c r="N46" s="1">
        <v>1149</v>
      </c>
      <c r="O46" s="1">
        <v>3202</v>
      </c>
      <c r="P46" s="1" t="s">
        <v>16</v>
      </c>
      <c r="Q46" t="str">
        <f>TEXT(dailyActivity_merged[[#This Row],[ActivityDate]],"dddd")</f>
        <v>Thursday</v>
      </c>
    </row>
    <row r="47" spans="1:17" x14ac:dyDescent="0.35">
      <c r="A47" s="1">
        <v>1644430081</v>
      </c>
      <c r="B47" s="2">
        <v>42468</v>
      </c>
      <c r="C47" s="1">
        <v>7842</v>
      </c>
      <c r="D47" s="1">
        <v>5.6999998090000004</v>
      </c>
      <c r="E47" s="1">
        <v>5.6999998090000004</v>
      </c>
      <c r="F47" s="1">
        <v>0</v>
      </c>
      <c r="G47" s="1">
        <v>0.47999998900000002</v>
      </c>
      <c r="H47" s="1">
        <v>2.4100000860000002</v>
      </c>
      <c r="I47" s="1">
        <v>2.8099999430000002</v>
      </c>
      <c r="J47" s="1">
        <v>0</v>
      </c>
      <c r="K47" s="1">
        <v>7</v>
      </c>
      <c r="L47" s="1">
        <v>43</v>
      </c>
      <c r="M47" s="1">
        <v>161</v>
      </c>
      <c r="N47" s="1">
        <v>1229</v>
      </c>
      <c r="O47" s="1">
        <v>2928</v>
      </c>
      <c r="P47" s="1" t="s">
        <v>18</v>
      </c>
      <c r="Q47" t="str">
        <f>TEXT(dailyActivity_merged[[#This Row],[ActivityDate]],"dddd")</f>
        <v>Friday</v>
      </c>
    </row>
    <row r="48" spans="1:17" x14ac:dyDescent="0.35">
      <c r="A48" s="1">
        <v>1644430081</v>
      </c>
      <c r="B48" s="2">
        <v>42469</v>
      </c>
      <c r="C48" s="1">
        <v>13840</v>
      </c>
      <c r="D48" s="1">
        <v>10.06000042</v>
      </c>
      <c r="E48" s="1">
        <v>10.06000042</v>
      </c>
      <c r="F48" s="1">
        <v>0</v>
      </c>
      <c r="G48" s="1">
        <v>1.309999943</v>
      </c>
      <c r="H48" s="1">
        <v>3.7200000289999999</v>
      </c>
      <c r="I48" s="1">
        <v>5.0300002099999999</v>
      </c>
      <c r="J48" s="1">
        <v>0</v>
      </c>
      <c r="K48" s="1">
        <v>18</v>
      </c>
      <c r="L48" s="1">
        <v>81</v>
      </c>
      <c r="M48" s="1">
        <v>192</v>
      </c>
      <c r="N48" s="1">
        <v>1149</v>
      </c>
      <c r="O48" s="1">
        <v>3290</v>
      </c>
      <c r="P48" s="1" t="s">
        <v>16</v>
      </c>
      <c r="Q48" t="str">
        <f>TEXT(dailyActivity_merged[[#This Row],[ActivityDate]],"dddd")</f>
        <v>Saturday</v>
      </c>
    </row>
    <row r="49" spans="1:17" x14ac:dyDescent="0.35">
      <c r="A49" s="1">
        <v>1644430081</v>
      </c>
      <c r="B49" s="2">
        <v>42470</v>
      </c>
      <c r="C49" s="1">
        <v>1329</v>
      </c>
      <c r="D49" s="1">
        <v>0.97000002900000004</v>
      </c>
      <c r="E49" s="1">
        <v>0.97000002900000004</v>
      </c>
      <c r="F49" s="1">
        <v>0</v>
      </c>
      <c r="G49" s="1">
        <v>0</v>
      </c>
      <c r="H49" s="1">
        <v>0</v>
      </c>
      <c r="I49" s="1">
        <v>0.97000002900000004</v>
      </c>
      <c r="J49" s="1">
        <v>0</v>
      </c>
      <c r="K49" s="1">
        <v>0</v>
      </c>
      <c r="L49" s="1">
        <v>0</v>
      </c>
      <c r="M49" s="1">
        <v>35</v>
      </c>
      <c r="N49" s="1">
        <v>207</v>
      </c>
      <c r="O49" s="1">
        <v>489</v>
      </c>
      <c r="P49" s="1" t="s">
        <v>17</v>
      </c>
      <c r="Q49" t="str">
        <f>TEXT(dailyActivity_merged[[#This Row],[ActivityDate]],"dddd")</f>
        <v>Sunday</v>
      </c>
    </row>
    <row r="50" spans="1:17" x14ac:dyDescent="0.35">
      <c r="A50" s="1">
        <v>1844505072</v>
      </c>
      <c r="B50" s="2">
        <v>42461</v>
      </c>
      <c r="C50" s="1">
        <v>6847</v>
      </c>
      <c r="D50" s="1">
        <v>4.5300002099999999</v>
      </c>
      <c r="E50" s="1">
        <v>4.5300002099999999</v>
      </c>
      <c r="F50" s="1">
        <v>0</v>
      </c>
      <c r="G50" s="1">
        <v>0.61000001400000003</v>
      </c>
      <c r="H50" s="1">
        <v>0.37000000500000002</v>
      </c>
      <c r="I50" s="1">
        <v>3.5499999519999998</v>
      </c>
      <c r="J50" s="1">
        <v>0</v>
      </c>
      <c r="K50" s="1">
        <v>9</v>
      </c>
      <c r="L50" s="1">
        <v>9</v>
      </c>
      <c r="M50" s="1">
        <v>251</v>
      </c>
      <c r="N50" s="1">
        <v>1171</v>
      </c>
      <c r="O50" s="1">
        <v>1969</v>
      </c>
      <c r="P50" s="1" t="s">
        <v>19</v>
      </c>
      <c r="Q50" t="str">
        <f>TEXT(dailyActivity_merged[[#This Row],[ActivityDate]],"dddd")</f>
        <v>Friday</v>
      </c>
    </row>
    <row r="51" spans="1:17" x14ac:dyDescent="0.35">
      <c r="A51" s="1">
        <v>1844505072</v>
      </c>
      <c r="B51" s="2">
        <v>42462</v>
      </c>
      <c r="C51" s="1">
        <v>5367</v>
      </c>
      <c r="D51" s="1">
        <v>3.5499999519999998</v>
      </c>
      <c r="E51" s="1">
        <v>3.5499999519999998</v>
      </c>
      <c r="F51" s="1">
        <v>0</v>
      </c>
      <c r="G51" s="1">
        <v>0</v>
      </c>
      <c r="H51" s="1">
        <v>0</v>
      </c>
      <c r="I51" s="1">
        <v>3.5499999519999998</v>
      </c>
      <c r="J51" s="1">
        <v>0</v>
      </c>
      <c r="K51" s="1">
        <v>0</v>
      </c>
      <c r="L51" s="1">
        <v>0</v>
      </c>
      <c r="M51" s="1">
        <v>263</v>
      </c>
      <c r="N51" s="1">
        <v>1177</v>
      </c>
      <c r="O51" s="1">
        <v>1889</v>
      </c>
      <c r="P51" s="1" t="s">
        <v>19</v>
      </c>
      <c r="Q51" t="str">
        <f>TEXT(dailyActivity_merged[[#This Row],[ActivityDate]],"dddd")</f>
        <v>Saturday</v>
      </c>
    </row>
    <row r="52" spans="1:17" x14ac:dyDescent="0.35">
      <c r="A52" s="1">
        <v>1844505072</v>
      </c>
      <c r="B52" s="2">
        <v>42463</v>
      </c>
      <c r="C52" s="1">
        <v>2841</v>
      </c>
      <c r="D52" s="1">
        <v>1.8799999949999999</v>
      </c>
      <c r="E52" s="1">
        <v>1.8799999949999999</v>
      </c>
      <c r="F52" s="1">
        <v>0</v>
      </c>
      <c r="G52" s="1">
        <v>0</v>
      </c>
      <c r="H52" s="1">
        <v>0</v>
      </c>
      <c r="I52" s="1">
        <v>1.8799999949999999</v>
      </c>
      <c r="J52" s="1">
        <v>0</v>
      </c>
      <c r="K52" s="1">
        <v>0</v>
      </c>
      <c r="L52" s="1">
        <v>0</v>
      </c>
      <c r="M52" s="1">
        <v>136</v>
      </c>
      <c r="N52" s="1">
        <v>1114</v>
      </c>
      <c r="O52" s="1">
        <v>1636</v>
      </c>
      <c r="P52" s="1" t="s">
        <v>17</v>
      </c>
      <c r="Q52" t="str">
        <f>TEXT(dailyActivity_merged[[#This Row],[ActivityDate]],"dddd")</f>
        <v>Sunday</v>
      </c>
    </row>
    <row r="53" spans="1:17" x14ac:dyDescent="0.35">
      <c r="A53" s="1">
        <v>1844505072</v>
      </c>
      <c r="B53" s="2">
        <v>42464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669</v>
      </c>
      <c r="O53" s="1">
        <v>1347</v>
      </c>
      <c r="P53" s="1" t="s">
        <v>17</v>
      </c>
      <c r="Q53" t="str">
        <f>TEXT(dailyActivity_merged[[#This Row],[ActivityDate]],"dddd")</f>
        <v>Monday</v>
      </c>
    </row>
    <row r="54" spans="1:17" x14ac:dyDescent="0.35">
      <c r="A54" s="1">
        <v>1844505072</v>
      </c>
      <c r="B54" s="2">
        <v>42465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1440</v>
      </c>
      <c r="O54" s="1">
        <v>1347</v>
      </c>
      <c r="P54" s="1" t="s">
        <v>17</v>
      </c>
      <c r="Q54" t="str">
        <f>TEXT(dailyActivity_merged[[#This Row],[ActivityDate]],"dddd")</f>
        <v>Tuesday</v>
      </c>
    </row>
    <row r="55" spans="1:17" x14ac:dyDescent="0.35">
      <c r="A55" s="1">
        <v>1844505072</v>
      </c>
      <c r="B55" s="2">
        <v>42466</v>
      </c>
      <c r="C55" s="1">
        <v>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1439</v>
      </c>
      <c r="O55" s="1">
        <v>1349</v>
      </c>
      <c r="P55" s="1" t="s">
        <v>17</v>
      </c>
      <c r="Q55" t="str">
        <f>TEXT(dailyActivity_merged[[#This Row],[ActivityDate]],"dddd")</f>
        <v>Wednesday</v>
      </c>
    </row>
    <row r="56" spans="1:17" x14ac:dyDescent="0.35">
      <c r="A56" s="1">
        <v>1844505072</v>
      </c>
      <c r="B56" s="2">
        <v>42467</v>
      </c>
      <c r="C56" s="1">
        <v>6344</v>
      </c>
      <c r="D56" s="1">
        <v>4.1900000569999998</v>
      </c>
      <c r="E56" s="1">
        <v>4.1900000569999998</v>
      </c>
      <c r="F56" s="1">
        <v>0</v>
      </c>
      <c r="G56" s="1">
        <v>0</v>
      </c>
      <c r="H56" s="1">
        <v>0</v>
      </c>
      <c r="I56" s="1">
        <v>4.1900000569999998</v>
      </c>
      <c r="J56" s="1">
        <v>0</v>
      </c>
      <c r="K56" s="1">
        <v>0</v>
      </c>
      <c r="L56" s="1">
        <v>0</v>
      </c>
      <c r="M56" s="1">
        <v>290</v>
      </c>
      <c r="N56" s="1">
        <v>1150</v>
      </c>
      <c r="O56" s="1">
        <v>1965</v>
      </c>
      <c r="P56" s="1" t="s">
        <v>19</v>
      </c>
      <c r="Q56" t="str">
        <f>TEXT(dailyActivity_merged[[#This Row],[ActivityDate]],"dddd")</f>
        <v>Thursday</v>
      </c>
    </row>
    <row r="57" spans="1:17" x14ac:dyDescent="0.35">
      <c r="A57" s="1">
        <v>1844505072</v>
      </c>
      <c r="B57" s="2">
        <v>42468</v>
      </c>
      <c r="C57" s="1">
        <v>5316</v>
      </c>
      <c r="D57" s="1">
        <v>3.5099999899999998</v>
      </c>
      <c r="E57" s="1">
        <v>3.5099999899999998</v>
      </c>
      <c r="F57" s="1">
        <v>0</v>
      </c>
      <c r="G57" s="1">
        <v>0</v>
      </c>
      <c r="H57" s="1">
        <v>0</v>
      </c>
      <c r="I57" s="1">
        <v>3.5099999899999998</v>
      </c>
      <c r="J57" s="1">
        <v>0</v>
      </c>
      <c r="K57" s="1">
        <v>0</v>
      </c>
      <c r="L57" s="1">
        <v>0</v>
      </c>
      <c r="M57" s="1">
        <v>221</v>
      </c>
      <c r="N57" s="1">
        <v>1219</v>
      </c>
      <c r="O57" s="1">
        <v>1824</v>
      </c>
      <c r="P57" s="1" t="s">
        <v>19</v>
      </c>
      <c r="Q57" t="str">
        <f>TEXT(dailyActivity_merged[[#This Row],[ActivityDate]],"dddd")</f>
        <v>Friday</v>
      </c>
    </row>
    <row r="58" spans="1:17" x14ac:dyDescent="0.35">
      <c r="A58" s="1">
        <v>1844505072</v>
      </c>
      <c r="B58" s="2">
        <v>42469</v>
      </c>
      <c r="C58" s="1">
        <v>4979</v>
      </c>
      <c r="D58" s="1">
        <v>3.289999962</v>
      </c>
      <c r="E58" s="1">
        <v>3.289999962</v>
      </c>
      <c r="F58" s="1">
        <v>0</v>
      </c>
      <c r="G58" s="1">
        <v>0</v>
      </c>
      <c r="H58" s="1">
        <v>0</v>
      </c>
      <c r="I58" s="1">
        <v>3.289999962</v>
      </c>
      <c r="J58" s="1">
        <v>0</v>
      </c>
      <c r="K58" s="1">
        <v>0</v>
      </c>
      <c r="L58" s="1">
        <v>0</v>
      </c>
      <c r="M58" s="1">
        <v>184</v>
      </c>
      <c r="N58" s="1">
        <v>620</v>
      </c>
      <c r="O58" s="1">
        <v>1807</v>
      </c>
      <c r="P58" s="1" t="s">
        <v>17</v>
      </c>
      <c r="Q58" t="str">
        <f>TEXT(dailyActivity_merged[[#This Row],[ActivityDate]],"dddd")</f>
        <v>Saturday</v>
      </c>
    </row>
    <row r="59" spans="1:17" x14ac:dyDescent="0.35">
      <c r="A59" s="1">
        <v>1844505072</v>
      </c>
      <c r="B59" s="2">
        <v>42470</v>
      </c>
      <c r="C59" s="1">
        <v>6556</v>
      </c>
      <c r="D59" s="1">
        <v>4.3400001530000001</v>
      </c>
      <c r="E59" s="1">
        <v>4.3400001530000001</v>
      </c>
      <c r="F59" s="1">
        <v>0</v>
      </c>
      <c r="G59" s="1">
        <v>0</v>
      </c>
      <c r="H59" s="1">
        <v>0</v>
      </c>
      <c r="I59" s="1">
        <v>4.329999924</v>
      </c>
      <c r="J59" s="1">
        <v>0</v>
      </c>
      <c r="K59" s="1">
        <v>0</v>
      </c>
      <c r="L59" s="1">
        <v>0</v>
      </c>
      <c r="M59" s="1">
        <v>305</v>
      </c>
      <c r="N59" s="1">
        <v>810</v>
      </c>
      <c r="O59" s="1">
        <v>1971</v>
      </c>
      <c r="P59" s="1" t="s">
        <v>19</v>
      </c>
      <c r="Q59" t="str">
        <f>TEXT(dailyActivity_merged[[#This Row],[ActivityDate]],"dddd")</f>
        <v>Sunday</v>
      </c>
    </row>
    <row r="60" spans="1:17" x14ac:dyDescent="0.35">
      <c r="A60" s="1">
        <v>1844505072</v>
      </c>
      <c r="B60" s="2">
        <v>42471</v>
      </c>
      <c r="C60" s="1">
        <v>5430</v>
      </c>
      <c r="D60" s="1">
        <v>3.5899999139999998</v>
      </c>
      <c r="E60" s="1">
        <v>3.5899999139999998</v>
      </c>
      <c r="F60" s="1">
        <v>0</v>
      </c>
      <c r="G60" s="1">
        <v>0</v>
      </c>
      <c r="H60" s="1">
        <v>0</v>
      </c>
      <c r="I60" s="1">
        <v>3.5899999139999998</v>
      </c>
      <c r="J60" s="1">
        <v>0</v>
      </c>
      <c r="K60" s="1">
        <v>0</v>
      </c>
      <c r="L60" s="1">
        <v>0</v>
      </c>
      <c r="M60" s="1">
        <v>251</v>
      </c>
      <c r="N60" s="1">
        <v>1189</v>
      </c>
      <c r="O60" s="1">
        <v>1888</v>
      </c>
      <c r="P60" s="1" t="s">
        <v>19</v>
      </c>
      <c r="Q60" t="str">
        <f>TEXT(dailyActivity_merged[[#This Row],[ActivityDate]],"dddd")</f>
        <v>Monday</v>
      </c>
    </row>
    <row r="61" spans="1:17" x14ac:dyDescent="0.35">
      <c r="A61" s="1">
        <v>1844505072</v>
      </c>
      <c r="B61" s="2">
        <v>42472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426</v>
      </c>
      <c r="O61" s="1">
        <v>399</v>
      </c>
      <c r="P61" s="1" t="s">
        <v>17</v>
      </c>
      <c r="Q61" t="str">
        <f>TEXT(dailyActivity_merged[[#This Row],[ActivityDate]],"dddd")</f>
        <v>Tuesday</v>
      </c>
    </row>
    <row r="62" spans="1:17" x14ac:dyDescent="0.35">
      <c r="A62" s="1">
        <v>1927972279</v>
      </c>
      <c r="B62" s="2">
        <v>42461</v>
      </c>
      <c r="C62" s="1">
        <v>4317</v>
      </c>
      <c r="D62" s="1">
        <v>2.9900000100000002</v>
      </c>
      <c r="E62" s="1">
        <v>2.9900000100000002</v>
      </c>
      <c r="F62" s="1">
        <v>0</v>
      </c>
      <c r="G62" s="1">
        <v>0</v>
      </c>
      <c r="H62" s="1">
        <v>0.37000000500000002</v>
      </c>
      <c r="I62" s="1">
        <v>2.619999886</v>
      </c>
      <c r="J62" s="1">
        <v>0</v>
      </c>
      <c r="K62" s="1">
        <v>0</v>
      </c>
      <c r="L62" s="1">
        <v>11</v>
      </c>
      <c r="M62" s="1">
        <v>192</v>
      </c>
      <c r="N62" s="1">
        <v>854</v>
      </c>
      <c r="O62" s="1">
        <v>2590</v>
      </c>
      <c r="P62" s="1" t="s">
        <v>17</v>
      </c>
      <c r="Q62" t="str">
        <f>TEXT(dailyActivity_merged[[#This Row],[ActivityDate]],"dddd")</f>
        <v>Friday</v>
      </c>
    </row>
    <row r="63" spans="1:17" x14ac:dyDescent="0.35">
      <c r="A63" s="1">
        <v>1927972279</v>
      </c>
      <c r="B63" s="2">
        <v>42462</v>
      </c>
      <c r="C63" s="1">
        <v>5662</v>
      </c>
      <c r="D63" s="1">
        <v>3.920000076</v>
      </c>
      <c r="E63" s="1">
        <v>3.920000076</v>
      </c>
      <c r="F63" s="1">
        <v>0</v>
      </c>
      <c r="G63" s="1">
        <v>0</v>
      </c>
      <c r="H63" s="1">
        <v>0</v>
      </c>
      <c r="I63" s="1">
        <v>3.920000076</v>
      </c>
      <c r="J63" s="1">
        <v>0</v>
      </c>
      <c r="K63" s="1">
        <v>0</v>
      </c>
      <c r="L63" s="1">
        <v>0</v>
      </c>
      <c r="M63" s="1">
        <v>267</v>
      </c>
      <c r="N63" s="1">
        <v>858</v>
      </c>
      <c r="O63" s="1">
        <v>2783</v>
      </c>
      <c r="P63" s="1" t="s">
        <v>19</v>
      </c>
      <c r="Q63" t="str">
        <f>TEXT(dailyActivity_merged[[#This Row],[ActivityDate]],"dddd")</f>
        <v>Saturday</v>
      </c>
    </row>
    <row r="64" spans="1:17" x14ac:dyDescent="0.35">
      <c r="A64" s="1">
        <v>1927972279</v>
      </c>
      <c r="B64" s="2">
        <v>42463</v>
      </c>
      <c r="C64" s="1">
        <v>3198</v>
      </c>
      <c r="D64" s="1">
        <v>2.210000038</v>
      </c>
      <c r="E64" s="1">
        <v>2.210000038</v>
      </c>
      <c r="F64" s="1">
        <v>0</v>
      </c>
      <c r="G64" s="1">
        <v>0</v>
      </c>
      <c r="H64" s="1">
        <v>0</v>
      </c>
      <c r="I64" s="1">
        <v>2.210000038</v>
      </c>
      <c r="J64" s="1">
        <v>0</v>
      </c>
      <c r="K64" s="1">
        <v>0</v>
      </c>
      <c r="L64" s="1">
        <v>0</v>
      </c>
      <c r="M64" s="1">
        <v>146</v>
      </c>
      <c r="N64" s="1">
        <v>1183</v>
      </c>
      <c r="O64" s="1">
        <v>2449</v>
      </c>
      <c r="P64" s="1" t="s">
        <v>17</v>
      </c>
      <c r="Q64" t="str">
        <f>TEXT(dailyActivity_merged[[#This Row],[ActivityDate]],"dddd")</f>
        <v>Sunday</v>
      </c>
    </row>
    <row r="65" spans="1:17" x14ac:dyDescent="0.35">
      <c r="A65" s="1">
        <v>1927972279</v>
      </c>
      <c r="B65" s="2">
        <v>42464</v>
      </c>
      <c r="C65" s="1">
        <v>2352</v>
      </c>
      <c r="D65" s="1">
        <v>1.6299999949999999</v>
      </c>
      <c r="E65" s="1">
        <v>1.6299999949999999</v>
      </c>
      <c r="F65" s="1">
        <v>0</v>
      </c>
      <c r="G65" s="1">
        <v>0</v>
      </c>
      <c r="H65" s="1">
        <v>0</v>
      </c>
      <c r="I65" s="1">
        <v>1.6299999949999999</v>
      </c>
      <c r="J65" s="1">
        <v>0</v>
      </c>
      <c r="K65" s="1">
        <v>0</v>
      </c>
      <c r="L65" s="1">
        <v>0</v>
      </c>
      <c r="M65" s="1">
        <v>128</v>
      </c>
      <c r="N65" s="1">
        <v>829</v>
      </c>
      <c r="O65" s="1">
        <v>2380</v>
      </c>
      <c r="P65" s="1" t="s">
        <v>17</v>
      </c>
      <c r="Q65" t="str">
        <f>TEXT(dailyActivity_merged[[#This Row],[ActivityDate]],"dddd")</f>
        <v>Monday</v>
      </c>
    </row>
    <row r="66" spans="1:17" x14ac:dyDescent="0.35">
      <c r="A66" s="1">
        <v>1927972279</v>
      </c>
      <c r="B66" s="2">
        <v>42465</v>
      </c>
      <c r="C66" s="1">
        <v>2234</v>
      </c>
      <c r="D66" s="1">
        <v>1.5499999520000001</v>
      </c>
      <c r="E66" s="1">
        <v>1.5499999520000001</v>
      </c>
      <c r="F66" s="1">
        <v>0</v>
      </c>
      <c r="G66" s="1">
        <v>0</v>
      </c>
      <c r="H66" s="1">
        <v>0</v>
      </c>
      <c r="I66" s="1">
        <v>1.5499999520000001</v>
      </c>
      <c r="J66" s="1">
        <v>0</v>
      </c>
      <c r="K66" s="1">
        <v>0</v>
      </c>
      <c r="L66" s="1">
        <v>0</v>
      </c>
      <c r="M66" s="1">
        <v>108</v>
      </c>
      <c r="N66" s="1">
        <v>912</v>
      </c>
      <c r="O66" s="1">
        <v>2344</v>
      </c>
      <c r="P66" s="1" t="s">
        <v>17</v>
      </c>
      <c r="Q66" t="str">
        <f>TEXT(dailyActivity_merged[[#This Row],[ActivityDate]],"dddd")</f>
        <v>Tuesday</v>
      </c>
    </row>
    <row r="67" spans="1:17" x14ac:dyDescent="0.35">
      <c r="A67" s="1">
        <v>1927972279</v>
      </c>
      <c r="B67" s="2">
        <v>42466</v>
      </c>
      <c r="C67" s="1">
        <v>1259</v>
      </c>
      <c r="D67" s="1">
        <v>0.87000000499999997</v>
      </c>
      <c r="E67" s="1">
        <v>0.87000000499999997</v>
      </c>
      <c r="F67" s="1">
        <v>0</v>
      </c>
      <c r="G67" s="1">
        <v>0</v>
      </c>
      <c r="H67" s="1">
        <v>0</v>
      </c>
      <c r="I67" s="1">
        <v>0.87000000499999997</v>
      </c>
      <c r="J67" s="1">
        <v>0</v>
      </c>
      <c r="K67" s="1">
        <v>0</v>
      </c>
      <c r="L67" s="1">
        <v>0</v>
      </c>
      <c r="M67" s="1">
        <v>73</v>
      </c>
      <c r="N67" s="1">
        <v>938</v>
      </c>
      <c r="O67" s="1">
        <v>2202</v>
      </c>
      <c r="P67" s="1" t="s">
        <v>17</v>
      </c>
      <c r="Q67" t="str">
        <f>TEXT(dailyActivity_merged[[#This Row],[ActivityDate]],"dddd")</f>
        <v>Wednesday</v>
      </c>
    </row>
    <row r="68" spans="1:17" x14ac:dyDescent="0.35">
      <c r="A68" s="1">
        <v>1927972279</v>
      </c>
      <c r="B68" s="2">
        <v>42467</v>
      </c>
      <c r="C68" s="1">
        <v>768</v>
      </c>
      <c r="D68" s="1">
        <v>0.52999997099999996</v>
      </c>
      <c r="E68" s="1">
        <v>0.52999997099999996</v>
      </c>
      <c r="F68" s="1">
        <v>0</v>
      </c>
      <c r="G68" s="1">
        <v>0</v>
      </c>
      <c r="H68" s="1">
        <v>0</v>
      </c>
      <c r="I68" s="1">
        <v>0.52999997099999996</v>
      </c>
      <c r="J68" s="1">
        <v>0</v>
      </c>
      <c r="K68" s="1">
        <v>0</v>
      </c>
      <c r="L68" s="1">
        <v>0</v>
      </c>
      <c r="M68" s="1">
        <v>43</v>
      </c>
      <c r="N68" s="1">
        <v>1397</v>
      </c>
      <c r="O68" s="1">
        <v>2130</v>
      </c>
      <c r="P68" s="1" t="s">
        <v>17</v>
      </c>
      <c r="Q68" t="str">
        <f>TEXT(dailyActivity_merged[[#This Row],[ActivityDate]],"dddd")</f>
        <v>Thursday</v>
      </c>
    </row>
    <row r="69" spans="1:17" x14ac:dyDescent="0.35">
      <c r="A69" s="1">
        <v>1927972279</v>
      </c>
      <c r="B69" s="2">
        <v>42468</v>
      </c>
      <c r="C69" s="1">
        <v>519</v>
      </c>
      <c r="D69" s="1">
        <v>0.36000001399999998</v>
      </c>
      <c r="E69" s="1">
        <v>0.36000001399999998</v>
      </c>
      <c r="F69" s="1">
        <v>0</v>
      </c>
      <c r="G69" s="1">
        <v>0</v>
      </c>
      <c r="H69" s="1">
        <v>0</v>
      </c>
      <c r="I69" s="1">
        <v>0.36000001399999998</v>
      </c>
      <c r="J69" s="1">
        <v>0</v>
      </c>
      <c r="K69" s="1">
        <v>0</v>
      </c>
      <c r="L69" s="1">
        <v>0</v>
      </c>
      <c r="M69" s="1">
        <v>34</v>
      </c>
      <c r="N69" s="1">
        <v>1406</v>
      </c>
      <c r="O69" s="1">
        <v>2088</v>
      </c>
      <c r="P69" s="1" t="s">
        <v>17</v>
      </c>
      <c r="Q69" t="str">
        <f>TEXT(dailyActivity_merged[[#This Row],[ActivityDate]],"dddd")</f>
        <v>Friday</v>
      </c>
    </row>
    <row r="70" spans="1:17" x14ac:dyDescent="0.35">
      <c r="A70" s="1">
        <v>1927972279</v>
      </c>
      <c r="B70" s="2">
        <v>42469</v>
      </c>
      <c r="C70" s="1">
        <v>2523</v>
      </c>
      <c r="D70" s="1">
        <v>1.75</v>
      </c>
      <c r="E70" s="1">
        <v>1.75</v>
      </c>
      <c r="F70" s="1">
        <v>0</v>
      </c>
      <c r="G70" s="1">
        <v>0</v>
      </c>
      <c r="H70" s="1">
        <v>0.37000000500000002</v>
      </c>
      <c r="I70" s="1">
        <v>1.3799999949999999</v>
      </c>
      <c r="J70" s="1">
        <v>0</v>
      </c>
      <c r="K70" s="1">
        <v>0</v>
      </c>
      <c r="L70" s="1">
        <v>9</v>
      </c>
      <c r="M70" s="1">
        <v>134</v>
      </c>
      <c r="N70" s="1">
        <v>1250</v>
      </c>
      <c r="O70" s="1">
        <v>2443</v>
      </c>
      <c r="P70" s="1" t="s">
        <v>17</v>
      </c>
      <c r="Q70" t="str">
        <f>TEXT(dailyActivity_merged[[#This Row],[ActivityDate]],"dddd")</f>
        <v>Saturday</v>
      </c>
    </row>
    <row r="71" spans="1:17" x14ac:dyDescent="0.35">
      <c r="A71" s="1">
        <v>1927972279</v>
      </c>
      <c r="B71" s="2">
        <v>42470</v>
      </c>
      <c r="C71" s="1">
        <v>2105</v>
      </c>
      <c r="D71" s="1">
        <v>1.460000038</v>
      </c>
      <c r="E71" s="1">
        <v>1.460000038</v>
      </c>
      <c r="F71" s="1">
        <v>0</v>
      </c>
      <c r="G71" s="1">
        <v>0</v>
      </c>
      <c r="H71" s="1">
        <v>0</v>
      </c>
      <c r="I71" s="1">
        <v>1.460000038</v>
      </c>
      <c r="J71" s="1">
        <v>0</v>
      </c>
      <c r="K71" s="1">
        <v>0</v>
      </c>
      <c r="L71" s="1">
        <v>0</v>
      </c>
      <c r="M71" s="1">
        <v>139</v>
      </c>
      <c r="N71" s="1">
        <v>805</v>
      </c>
      <c r="O71" s="1">
        <v>2442</v>
      </c>
      <c r="P71" s="1" t="s">
        <v>17</v>
      </c>
      <c r="Q71" t="str">
        <f>TEXT(dailyActivity_merged[[#This Row],[ActivityDate]],"dddd")</f>
        <v>Sunday</v>
      </c>
    </row>
    <row r="72" spans="1:17" x14ac:dyDescent="0.35">
      <c r="A72" s="1">
        <v>1927972279</v>
      </c>
      <c r="B72" s="2">
        <v>42471</v>
      </c>
      <c r="C72" s="1">
        <v>1209</v>
      </c>
      <c r="D72" s="1">
        <v>0.83999997400000004</v>
      </c>
      <c r="E72" s="1">
        <v>0.83999997400000004</v>
      </c>
      <c r="F72" s="1">
        <v>0</v>
      </c>
      <c r="G72" s="1">
        <v>0</v>
      </c>
      <c r="H72" s="1">
        <v>0</v>
      </c>
      <c r="I72" s="1">
        <v>0.83999997400000004</v>
      </c>
      <c r="J72" s="1">
        <v>0</v>
      </c>
      <c r="K72" s="1">
        <v>0</v>
      </c>
      <c r="L72" s="1">
        <v>0</v>
      </c>
      <c r="M72" s="1">
        <v>73</v>
      </c>
      <c r="N72" s="1">
        <v>842</v>
      </c>
      <c r="O72" s="1">
        <v>2255</v>
      </c>
      <c r="P72" s="1" t="s">
        <v>17</v>
      </c>
      <c r="Q72" t="str">
        <f>TEXT(dailyActivity_merged[[#This Row],[ActivityDate]],"dddd")</f>
        <v>Monday</v>
      </c>
    </row>
    <row r="73" spans="1:17" x14ac:dyDescent="0.35">
      <c r="A73" s="1">
        <v>1927972279</v>
      </c>
      <c r="B73" s="2">
        <v>42472</v>
      </c>
      <c r="C73" s="1">
        <v>24</v>
      </c>
      <c r="D73" s="1">
        <v>0.02</v>
      </c>
      <c r="E73" s="1">
        <v>0.02</v>
      </c>
      <c r="F73" s="1">
        <v>0</v>
      </c>
      <c r="G73" s="1">
        <v>0</v>
      </c>
      <c r="H73" s="1">
        <v>0</v>
      </c>
      <c r="I73" s="1">
        <v>0.02</v>
      </c>
      <c r="J73" s="1">
        <v>0</v>
      </c>
      <c r="K73" s="1">
        <v>0</v>
      </c>
      <c r="L73" s="1">
        <v>0</v>
      </c>
      <c r="M73" s="1">
        <v>3</v>
      </c>
      <c r="N73" s="1">
        <v>161</v>
      </c>
      <c r="O73" s="1">
        <v>942</v>
      </c>
      <c r="P73" s="1" t="s">
        <v>17</v>
      </c>
      <c r="Q73" t="str">
        <f>TEXT(dailyActivity_merged[[#This Row],[ActivityDate]],"dddd")</f>
        <v>Tuesday</v>
      </c>
    </row>
    <row r="74" spans="1:17" x14ac:dyDescent="0.35">
      <c r="A74" s="1">
        <v>2022484408</v>
      </c>
      <c r="B74" s="2">
        <v>42461</v>
      </c>
      <c r="C74" s="1">
        <v>13603</v>
      </c>
      <c r="D74" s="1">
        <v>9.6000003809999992</v>
      </c>
      <c r="E74" s="1">
        <v>9.6000003809999992</v>
      </c>
      <c r="F74" s="1">
        <v>0</v>
      </c>
      <c r="G74" s="1">
        <v>5.4600000380000004</v>
      </c>
      <c r="H74" s="1">
        <v>0.62999999500000003</v>
      </c>
      <c r="I74" s="1">
        <v>3.5099999899999998</v>
      </c>
      <c r="J74" s="1">
        <v>0</v>
      </c>
      <c r="K74" s="1">
        <v>72</v>
      </c>
      <c r="L74" s="1">
        <v>16</v>
      </c>
      <c r="M74" s="1">
        <v>213</v>
      </c>
      <c r="N74" s="1">
        <v>1139</v>
      </c>
      <c r="O74" s="1">
        <v>2645</v>
      </c>
      <c r="P74" s="1" t="s">
        <v>16</v>
      </c>
      <c r="Q74" t="str">
        <f>TEXT(dailyActivity_merged[[#This Row],[ActivityDate]],"dddd")</f>
        <v>Friday</v>
      </c>
    </row>
    <row r="75" spans="1:17" x14ac:dyDescent="0.35">
      <c r="A75" s="1">
        <v>2022484408</v>
      </c>
      <c r="B75" s="2">
        <v>42462</v>
      </c>
      <c r="C75" s="1">
        <v>5477</v>
      </c>
      <c r="D75" s="1">
        <v>3.8399999139999998</v>
      </c>
      <c r="E75" s="1">
        <v>3.8399999139999998</v>
      </c>
      <c r="F75" s="1">
        <v>0</v>
      </c>
      <c r="G75" s="1">
        <v>0</v>
      </c>
      <c r="H75" s="1">
        <v>0</v>
      </c>
      <c r="I75" s="1">
        <v>3.8399999139999998</v>
      </c>
      <c r="J75" s="1">
        <v>0</v>
      </c>
      <c r="K75" s="1">
        <v>0</v>
      </c>
      <c r="L75" s="1">
        <v>0</v>
      </c>
      <c r="M75" s="1">
        <v>237</v>
      </c>
      <c r="N75" s="1">
        <v>1203</v>
      </c>
      <c r="O75" s="1">
        <v>2040</v>
      </c>
      <c r="P75" s="1" t="s">
        <v>19</v>
      </c>
      <c r="Q75" t="str">
        <f>TEXT(dailyActivity_merged[[#This Row],[ActivityDate]],"dddd")</f>
        <v>Saturday</v>
      </c>
    </row>
    <row r="76" spans="1:17" x14ac:dyDescent="0.35">
      <c r="A76" s="1">
        <v>2022484408</v>
      </c>
      <c r="B76" s="2">
        <v>42463</v>
      </c>
      <c r="C76" s="1">
        <v>11144</v>
      </c>
      <c r="D76" s="1">
        <v>7.8200001720000003</v>
      </c>
      <c r="E76" s="1">
        <v>7.8200001720000003</v>
      </c>
      <c r="F76" s="1">
        <v>0</v>
      </c>
      <c r="G76" s="1">
        <v>1.789999962</v>
      </c>
      <c r="H76" s="1">
        <v>0.88999998599999997</v>
      </c>
      <c r="I76" s="1">
        <v>5.1399998660000001</v>
      </c>
      <c r="J76" s="1">
        <v>0</v>
      </c>
      <c r="K76" s="1">
        <v>25</v>
      </c>
      <c r="L76" s="1">
        <v>22</v>
      </c>
      <c r="M76" s="1">
        <v>279</v>
      </c>
      <c r="N76" s="1">
        <v>1114</v>
      </c>
      <c r="O76" s="1">
        <v>2395</v>
      </c>
      <c r="P76" s="1" t="s">
        <v>16</v>
      </c>
      <c r="Q76" t="str">
        <f>TEXT(dailyActivity_merged[[#This Row],[ActivityDate]],"dddd")</f>
        <v>Sunday</v>
      </c>
    </row>
    <row r="77" spans="1:17" x14ac:dyDescent="0.35">
      <c r="A77" s="1">
        <v>2022484408</v>
      </c>
      <c r="B77" s="2">
        <v>42464</v>
      </c>
      <c r="C77" s="1">
        <v>15313</v>
      </c>
      <c r="D77" s="1">
        <v>11</v>
      </c>
      <c r="E77" s="1">
        <v>11</v>
      </c>
      <c r="F77" s="1">
        <v>0</v>
      </c>
      <c r="G77" s="1">
        <v>5.0199999809999998</v>
      </c>
      <c r="H77" s="1">
        <v>1.289999962</v>
      </c>
      <c r="I77" s="1">
        <v>4.6900000569999998</v>
      </c>
      <c r="J77" s="1">
        <v>0</v>
      </c>
      <c r="K77" s="1">
        <v>62</v>
      </c>
      <c r="L77" s="1">
        <v>19</v>
      </c>
      <c r="M77" s="1">
        <v>233</v>
      </c>
      <c r="N77" s="1">
        <v>1126</v>
      </c>
      <c r="O77" s="1">
        <v>2581</v>
      </c>
      <c r="P77" s="1" t="s">
        <v>16</v>
      </c>
      <c r="Q77" t="str">
        <f>TEXT(dailyActivity_merged[[#This Row],[ActivityDate]],"dddd")</f>
        <v>Monday</v>
      </c>
    </row>
    <row r="78" spans="1:17" x14ac:dyDescent="0.35">
      <c r="A78" s="1">
        <v>2022484408</v>
      </c>
      <c r="B78" s="2">
        <v>42465</v>
      </c>
      <c r="C78" s="1">
        <v>10805</v>
      </c>
      <c r="D78" s="1">
        <v>7.5900001530000001</v>
      </c>
      <c r="E78" s="1">
        <v>7.5900001530000001</v>
      </c>
      <c r="F78" s="1">
        <v>0</v>
      </c>
      <c r="G78" s="1">
        <v>0.72000002900000004</v>
      </c>
      <c r="H78" s="1">
        <v>0.980000019</v>
      </c>
      <c r="I78" s="1">
        <v>5.8899998660000001</v>
      </c>
      <c r="J78" s="1">
        <v>0</v>
      </c>
      <c r="K78" s="1">
        <v>36</v>
      </c>
      <c r="L78" s="1">
        <v>37</v>
      </c>
      <c r="M78" s="1">
        <v>298</v>
      </c>
      <c r="N78" s="1">
        <v>1069</v>
      </c>
      <c r="O78" s="1">
        <v>2735</v>
      </c>
      <c r="P78" s="1" t="s">
        <v>16</v>
      </c>
      <c r="Q78" t="str">
        <f>TEXT(dailyActivity_merged[[#This Row],[ActivityDate]],"dddd")</f>
        <v>Tuesday</v>
      </c>
    </row>
    <row r="79" spans="1:17" x14ac:dyDescent="0.35">
      <c r="A79" s="1">
        <v>2022484408</v>
      </c>
      <c r="B79" s="2">
        <v>42466</v>
      </c>
      <c r="C79" s="1">
        <v>15392</v>
      </c>
      <c r="D79" s="1">
        <v>10.93000031</v>
      </c>
      <c r="E79" s="1">
        <v>10.93000031</v>
      </c>
      <c r="F79" s="1">
        <v>0</v>
      </c>
      <c r="G79" s="1">
        <v>3.4300000669999999</v>
      </c>
      <c r="H79" s="1">
        <v>1.75</v>
      </c>
      <c r="I79" s="1">
        <v>5.75</v>
      </c>
      <c r="J79" s="1">
        <v>0</v>
      </c>
      <c r="K79" s="1">
        <v>47</v>
      </c>
      <c r="L79" s="1">
        <v>42</v>
      </c>
      <c r="M79" s="1">
        <v>258</v>
      </c>
      <c r="N79" s="1">
        <v>1093</v>
      </c>
      <c r="O79" s="1">
        <v>2733</v>
      </c>
      <c r="P79" s="1" t="s">
        <v>16</v>
      </c>
      <c r="Q79" t="str">
        <f>TEXT(dailyActivity_merged[[#This Row],[ActivityDate]],"dddd")</f>
        <v>Wednesday</v>
      </c>
    </row>
    <row r="80" spans="1:17" x14ac:dyDescent="0.35">
      <c r="A80" s="1">
        <v>2022484408</v>
      </c>
      <c r="B80" s="2">
        <v>42467</v>
      </c>
      <c r="C80" s="1">
        <v>18247</v>
      </c>
      <c r="D80" s="1">
        <v>13.829999920000001</v>
      </c>
      <c r="E80" s="1">
        <v>13.829999920000001</v>
      </c>
      <c r="F80" s="1">
        <v>0</v>
      </c>
      <c r="G80" s="1">
        <v>7.1100001339999999</v>
      </c>
      <c r="H80" s="1">
        <v>2.210000038</v>
      </c>
      <c r="I80" s="1">
        <v>4.5100002290000001</v>
      </c>
      <c r="J80" s="1">
        <v>0</v>
      </c>
      <c r="K80" s="1">
        <v>72</v>
      </c>
      <c r="L80" s="1">
        <v>62</v>
      </c>
      <c r="M80" s="1">
        <v>252</v>
      </c>
      <c r="N80" s="1">
        <v>1054</v>
      </c>
      <c r="O80" s="1">
        <v>3021</v>
      </c>
      <c r="P80" s="1" t="s">
        <v>16</v>
      </c>
      <c r="Q80" t="str">
        <f>TEXT(dailyActivity_merged[[#This Row],[ActivityDate]],"dddd")</f>
        <v>Thursday</v>
      </c>
    </row>
    <row r="81" spans="1:17" x14ac:dyDescent="0.35">
      <c r="A81" s="1">
        <v>2022484408</v>
      </c>
      <c r="B81" s="2">
        <v>42468</v>
      </c>
      <c r="C81" s="1">
        <v>13023</v>
      </c>
      <c r="D81" s="1">
        <v>9.2600002289999992</v>
      </c>
      <c r="E81" s="1">
        <v>9.2600002289999992</v>
      </c>
      <c r="F81" s="1">
        <v>0</v>
      </c>
      <c r="G81" s="1">
        <v>3.2300000190000002</v>
      </c>
      <c r="H81" s="1">
        <v>0.560000002</v>
      </c>
      <c r="I81" s="1">
        <v>5.4699997900000001</v>
      </c>
      <c r="J81" s="1">
        <v>0</v>
      </c>
      <c r="K81" s="1">
        <v>40</v>
      </c>
      <c r="L81" s="1">
        <v>12</v>
      </c>
      <c r="M81" s="1">
        <v>296</v>
      </c>
      <c r="N81" s="1">
        <v>1092</v>
      </c>
      <c r="O81" s="1">
        <v>2577</v>
      </c>
      <c r="P81" s="1" t="s">
        <v>16</v>
      </c>
      <c r="Q81" t="str">
        <f>TEXT(dailyActivity_merged[[#This Row],[ActivityDate]],"dddd")</f>
        <v>Friday</v>
      </c>
    </row>
    <row r="82" spans="1:17" x14ac:dyDescent="0.35">
      <c r="A82" s="1">
        <v>2022484408</v>
      </c>
      <c r="B82" s="2">
        <v>42469</v>
      </c>
      <c r="C82" s="1">
        <v>16267</v>
      </c>
      <c r="D82" s="1">
        <v>12.59000015</v>
      </c>
      <c r="E82" s="1">
        <v>12.59000015</v>
      </c>
      <c r="F82" s="1">
        <v>0</v>
      </c>
      <c r="G82" s="1">
        <v>5.75</v>
      </c>
      <c r="H82" s="1">
        <v>0.469999999</v>
      </c>
      <c r="I82" s="1">
        <v>6.3699998860000004</v>
      </c>
      <c r="J82" s="1">
        <v>0</v>
      </c>
      <c r="K82" s="1">
        <v>44</v>
      </c>
      <c r="L82" s="1">
        <v>16</v>
      </c>
      <c r="M82" s="1">
        <v>302</v>
      </c>
      <c r="N82" s="1">
        <v>1078</v>
      </c>
      <c r="O82" s="1">
        <v>2811</v>
      </c>
      <c r="P82" s="1" t="s">
        <v>16</v>
      </c>
      <c r="Q82" t="str">
        <f>TEXT(dailyActivity_merged[[#This Row],[ActivityDate]],"dddd")</f>
        <v>Saturday</v>
      </c>
    </row>
    <row r="83" spans="1:17" x14ac:dyDescent="0.35">
      <c r="A83" s="1">
        <v>2022484408</v>
      </c>
      <c r="B83" s="2">
        <v>42470</v>
      </c>
      <c r="C83" s="1">
        <v>10005</v>
      </c>
      <c r="D83" s="1">
        <v>7.0199999809999998</v>
      </c>
      <c r="E83" s="1">
        <v>7.0199999809999998</v>
      </c>
      <c r="F83" s="1">
        <v>0</v>
      </c>
      <c r="G83" s="1">
        <v>7.9999998000000003E-2</v>
      </c>
      <c r="H83" s="1">
        <v>1.0499999520000001</v>
      </c>
      <c r="I83" s="1">
        <v>5.9000000950000002</v>
      </c>
      <c r="J83" s="1">
        <v>0</v>
      </c>
      <c r="K83" s="1">
        <v>1</v>
      </c>
      <c r="L83" s="1">
        <v>23</v>
      </c>
      <c r="M83" s="1">
        <v>339</v>
      </c>
      <c r="N83" s="1">
        <v>1077</v>
      </c>
      <c r="O83" s="1">
        <v>2458</v>
      </c>
      <c r="P83" s="1" t="s">
        <v>16</v>
      </c>
      <c r="Q83" t="str">
        <f>TEXT(dailyActivity_merged[[#This Row],[ActivityDate]],"dddd")</f>
        <v>Sunday</v>
      </c>
    </row>
    <row r="84" spans="1:17" x14ac:dyDescent="0.35">
      <c r="A84" s="1">
        <v>2022484408</v>
      </c>
      <c r="B84" s="2">
        <v>42471</v>
      </c>
      <c r="C84" s="1">
        <v>10106</v>
      </c>
      <c r="D84" s="1">
        <v>7.0900001530000001</v>
      </c>
      <c r="E84" s="1">
        <v>7.0900001530000001</v>
      </c>
      <c r="F84" s="1">
        <v>0</v>
      </c>
      <c r="G84" s="1">
        <v>1.210000038</v>
      </c>
      <c r="H84" s="1">
        <v>0.560000002</v>
      </c>
      <c r="I84" s="1">
        <v>5.329999924</v>
      </c>
      <c r="J84" s="1">
        <v>0</v>
      </c>
      <c r="K84" s="1">
        <v>41</v>
      </c>
      <c r="L84" s="1">
        <v>16</v>
      </c>
      <c r="M84" s="1">
        <v>272</v>
      </c>
      <c r="N84" s="1">
        <v>1111</v>
      </c>
      <c r="O84" s="1">
        <v>2568</v>
      </c>
      <c r="P84" s="1" t="s">
        <v>16</v>
      </c>
      <c r="Q84" t="str">
        <f>TEXT(dailyActivity_merged[[#This Row],[ActivityDate]],"dddd")</f>
        <v>Monday</v>
      </c>
    </row>
    <row r="85" spans="1:17" x14ac:dyDescent="0.35">
      <c r="A85" s="1">
        <v>2022484408</v>
      </c>
      <c r="B85" s="2">
        <v>42472</v>
      </c>
      <c r="C85" s="1">
        <v>6717</v>
      </c>
      <c r="D85" s="1">
        <v>4.7199997900000001</v>
      </c>
      <c r="E85" s="1">
        <v>4.7199997900000001</v>
      </c>
      <c r="F85" s="1">
        <v>0</v>
      </c>
      <c r="G85" s="1">
        <v>3.2300000190000002</v>
      </c>
      <c r="H85" s="1">
        <v>0.219999999</v>
      </c>
      <c r="I85" s="1">
        <v>1.269999981</v>
      </c>
      <c r="J85" s="1">
        <v>0</v>
      </c>
      <c r="K85" s="1">
        <v>41</v>
      </c>
      <c r="L85" s="1">
        <v>5</v>
      </c>
      <c r="M85" s="1">
        <v>67</v>
      </c>
      <c r="N85" s="1">
        <v>551</v>
      </c>
      <c r="O85" s="1">
        <v>1140</v>
      </c>
      <c r="P85" s="1" t="s">
        <v>19</v>
      </c>
      <c r="Q85" t="str">
        <f>TEXT(dailyActivity_merged[[#This Row],[ActivityDate]],"dddd")</f>
        <v>Tuesday</v>
      </c>
    </row>
    <row r="86" spans="1:17" x14ac:dyDescent="0.35">
      <c r="A86" s="1">
        <v>2026352035</v>
      </c>
      <c r="B86" s="2">
        <v>42461</v>
      </c>
      <c r="C86" s="1">
        <v>2605</v>
      </c>
      <c r="D86" s="1">
        <v>1.6200000050000001</v>
      </c>
      <c r="E86" s="1">
        <v>1.6200000050000001</v>
      </c>
      <c r="F86" s="1">
        <v>0</v>
      </c>
      <c r="G86" s="1">
        <v>0</v>
      </c>
      <c r="H86" s="1">
        <v>0</v>
      </c>
      <c r="I86" s="1">
        <v>1.6200000050000001</v>
      </c>
      <c r="J86" s="1">
        <v>0</v>
      </c>
      <c r="K86" s="1">
        <v>0</v>
      </c>
      <c r="L86" s="1">
        <v>0</v>
      </c>
      <c r="M86" s="1">
        <v>166</v>
      </c>
      <c r="N86" s="1">
        <v>729</v>
      </c>
      <c r="O86" s="1">
        <v>1407</v>
      </c>
      <c r="P86" s="1" t="s">
        <v>17</v>
      </c>
      <c r="Q86" t="str">
        <f>TEXT(dailyActivity_merged[[#This Row],[ActivityDate]],"dddd")</f>
        <v>Friday</v>
      </c>
    </row>
    <row r="87" spans="1:17" x14ac:dyDescent="0.35">
      <c r="A87" s="1">
        <v>2026352035</v>
      </c>
      <c r="B87" s="2">
        <v>42462</v>
      </c>
      <c r="C87" s="1">
        <v>1229</v>
      </c>
      <c r="D87" s="1">
        <v>0.75999998999999996</v>
      </c>
      <c r="E87" s="1">
        <v>0.75999998999999996</v>
      </c>
      <c r="F87" s="1">
        <v>0</v>
      </c>
      <c r="G87" s="1">
        <v>0</v>
      </c>
      <c r="H87" s="1">
        <v>0</v>
      </c>
      <c r="I87" s="1">
        <v>0.75999998999999996</v>
      </c>
      <c r="J87" s="1">
        <v>0</v>
      </c>
      <c r="K87" s="1">
        <v>0</v>
      </c>
      <c r="L87" s="1">
        <v>0</v>
      </c>
      <c r="M87" s="1">
        <v>69</v>
      </c>
      <c r="N87" s="1">
        <v>795</v>
      </c>
      <c r="O87" s="1">
        <v>1237</v>
      </c>
      <c r="P87" s="1" t="s">
        <v>17</v>
      </c>
      <c r="Q87" t="str">
        <f>TEXT(dailyActivity_merged[[#This Row],[ActivityDate]],"dddd")</f>
        <v>Saturday</v>
      </c>
    </row>
    <row r="88" spans="1:17" x14ac:dyDescent="0.35">
      <c r="A88" s="1">
        <v>2026352035</v>
      </c>
      <c r="B88" s="2">
        <v>42463</v>
      </c>
      <c r="C88" s="1">
        <v>2308</v>
      </c>
      <c r="D88" s="1">
        <v>1.4299999480000001</v>
      </c>
      <c r="E88" s="1">
        <v>1.4299999480000001</v>
      </c>
      <c r="F88" s="1">
        <v>0</v>
      </c>
      <c r="G88" s="1">
        <v>0</v>
      </c>
      <c r="H88" s="1">
        <v>0</v>
      </c>
      <c r="I88" s="1">
        <v>1.4299999480000001</v>
      </c>
      <c r="J88" s="1">
        <v>0</v>
      </c>
      <c r="K88" s="1">
        <v>0</v>
      </c>
      <c r="L88" s="1">
        <v>0</v>
      </c>
      <c r="M88" s="1">
        <v>115</v>
      </c>
      <c r="N88" s="1">
        <v>720</v>
      </c>
      <c r="O88" s="1">
        <v>1330</v>
      </c>
      <c r="P88" s="1" t="s">
        <v>17</v>
      </c>
      <c r="Q88" t="str">
        <f>TEXT(dailyActivity_merged[[#This Row],[ActivityDate]],"dddd")</f>
        <v>Sunday</v>
      </c>
    </row>
    <row r="89" spans="1:17" x14ac:dyDescent="0.35">
      <c r="A89" s="1">
        <v>2026352035</v>
      </c>
      <c r="B89" s="2">
        <v>42464</v>
      </c>
      <c r="C89" s="1">
        <v>6679</v>
      </c>
      <c r="D89" s="1">
        <v>4.1399998660000001</v>
      </c>
      <c r="E89" s="1">
        <v>4.1399998660000001</v>
      </c>
      <c r="F89" s="1">
        <v>0</v>
      </c>
      <c r="G89" s="1">
        <v>0</v>
      </c>
      <c r="H89" s="1">
        <v>0</v>
      </c>
      <c r="I89" s="1">
        <v>4.1399998660000001</v>
      </c>
      <c r="J89" s="1">
        <v>0</v>
      </c>
      <c r="K89" s="1">
        <v>0</v>
      </c>
      <c r="L89" s="1">
        <v>0</v>
      </c>
      <c r="M89" s="1">
        <v>263</v>
      </c>
      <c r="N89" s="1">
        <v>644</v>
      </c>
      <c r="O89" s="1">
        <v>1583</v>
      </c>
      <c r="P89" s="1" t="s">
        <v>19</v>
      </c>
      <c r="Q89" t="str">
        <f>TEXT(dailyActivity_merged[[#This Row],[ActivityDate]],"dddd")</f>
        <v>Monday</v>
      </c>
    </row>
    <row r="90" spans="1:17" x14ac:dyDescent="0.35">
      <c r="A90" s="1">
        <v>2026352035</v>
      </c>
      <c r="B90" s="2">
        <v>42465</v>
      </c>
      <c r="C90" s="1">
        <v>5645</v>
      </c>
      <c r="D90" s="1">
        <v>3.5</v>
      </c>
      <c r="E90" s="1">
        <v>3.5</v>
      </c>
      <c r="F90" s="1">
        <v>0</v>
      </c>
      <c r="G90" s="1">
        <v>0</v>
      </c>
      <c r="H90" s="1">
        <v>0</v>
      </c>
      <c r="I90" s="1">
        <v>3.5</v>
      </c>
      <c r="J90" s="1">
        <v>0</v>
      </c>
      <c r="K90" s="1">
        <v>0</v>
      </c>
      <c r="L90" s="1">
        <v>0</v>
      </c>
      <c r="M90" s="1">
        <v>248</v>
      </c>
      <c r="N90" s="1">
        <v>621</v>
      </c>
      <c r="O90" s="1">
        <v>1538</v>
      </c>
      <c r="P90" s="1" t="s">
        <v>19</v>
      </c>
      <c r="Q90" t="str">
        <f>TEXT(dailyActivity_merged[[#This Row],[ActivityDate]],"dddd")</f>
        <v>Tuesday</v>
      </c>
    </row>
    <row r="91" spans="1:17" x14ac:dyDescent="0.35">
      <c r="A91" s="1">
        <v>2026352035</v>
      </c>
      <c r="B91" s="2">
        <v>42466</v>
      </c>
      <c r="C91" s="1">
        <v>3180</v>
      </c>
      <c r="D91" s="1">
        <v>1.9700000289999999</v>
      </c>
      <c r="E91" s="1">
        <v>1.9700000289999999</v>
      </c>
      <c r="F91" s="1">
        <v>0</v>
      </c>
      <c r="G91" s="1">
        <v>0</v>
      </c>
      <c r="H91" s="1">
        <v>0</v>
      </c>
      <c r="I91" s="1">
        <v>1.9700000289999999</v>
      </c>
      <c r="J91" s="1">
        <v>0</v>
      </c>
      <c r="K91" s="1">
        <v>0</v>
      </c>
      <c r="L91" s="1">
        <v>0</v>
      </c>
      <c r="M91" s="1">
        <v>185</v>
      </c>
      <c r="N91" s="1">
        <v>738</v>
      </c>
      <c r="O91" s="1">
        <v>1421</v>
      </c>
      <c r="P91" s="1" t="s">
        <v>17</v>
      </c>
      <c r="Q91" t="str">
        <f>TEXT(dailyActivity_merged[[#This Row],[ActivityDate]],"dddd")</f>
        <v>Wednesday</v>
      </c>
    </row>
    <row r="92" spans="1:17" x14ac:dyDescent="0.35">
      <c r="A92" s="1">
        <v>2026352035</v>
      </c>
      <c r="B92" s="2">
        <v>42467</v>
      </c>
      <c r="C92" s="1">
        <v>2767</v>
      </c>
      <c r="D92" s="1">
        <v>1.7200000289999999</v>
      </c>
      <c r="E92" s="1">
        <v>1.7200000289999999</v>
      </c>
      <c r="F92" s="1">
        <v>0</v>
      </c>
      <c r="G92" s="1">
        <v>0</v>
      </c>
      <c r="H92" s="1">
        <v>0</v>
      </c>
      <c r="I92" s="1">
        <v>1.7200000289999999</v>
      </c>
      <c r="J92" s="1">
        <v>0</v>
      </c>
      <c r="K92" s="1">
        <v>0</v>
      </c>
      <c r="L92" s="1">
        <v>0</v>
      </c>
      <c r="M92" s="1">
        <v>170</v>
      </c>
      <c r="N92" s="1">
        <v>673</v>
      </c>
      <c r="O92" s="1">
        <v>1392</v>
      </c>
      <c r="P92" s="1" t="s">
        <v>17</v>
      </c>
      <c r="Q92" t="str">
        <f>TEXT(dailyActivity_merged[[#This Row],[ActivityDate]],"dddd")</f>
        <v>Thursday</v>
      </c>
    </row>
    <row r="93" spans="1:17" x14ac:dyDescent="0.35">
      <c r="A93" s="1">
        <v>2026352035</v>
      </c>
      <c r="B93" s="2">
        <v>42468</v>
      </c>
      <c r="C93" s="1">
        <v>3762</v>
      </c>
      <c r="D93" s="1">
        <v>2.329999924</v>
      </c>
      <c r="E93" s="1">
        <v>2.329999924</v>
      </c>
      <c r="F93" s="1">
        <v>0</v>
      </c>
      <c r="G93" s="1">
        <v>0</v>
      </c>
      <c r="H93" s="1">
        <v>0</v>
      </c>
      <c r="I93" s="1">
        <v>2.329999924</v>
      </c>
      <c r="J93" s="1">
        <v>0</v>
      </c>
      <c r="K93" s="1">
        <v>0</v>
      </c>
      <c r="L93" s="1">
        <v>0</v>
      </c>
      <c r="M93" s="1">
        <v>173</v>
      </c>
      <c r="N93" s="1">
        <v>719</v>
      </c>
      <c r="O93" s="1">
        <v>1425</v>
      </c>
      <c r="P93" s="1" t="s">
        <v>17</v>
      </c>
      <c r="Q93" t="str">
        <f>TEXT(dailyActivity_merged[[#This Row],[ActivityDate]],"dddd")</f>
        <v>Friday</v>
      </c>
    </row>
    <row r="94" spans="1:17" x14ac:dyDescent="0.35">
      <c r="A94" s="1">
        <v>2026352035</v>
      </c>
      <c r="B94" s="2">
        <v>42469</v>
      </c>
      <c r="C94" s="1">
        <v>3098</v>
      </c>
      <c r="D94" s="1">
        <v>1.9199999569999999</v>
      </c>
      <c r="E94" s="1">
        <v>1.9199999569999999</v>
      </c>
      <c r="F94" s="1">
        <v>0</v>
      </c>
      <c r="G94" s="1">
        <v>0</v>
      </c>
      <c r="H94" s="1">
        <v>0</v>
      </c>
      <c r="I94" s="1">
        <v>1.9199999569999999</v>
      </c>
      <c r="J94" s="1">
        <v>0</v>
      </c>
      <c r="K94" s="1">
        <v>0</v>
      </c>
      <c r="L94" s="1">
        <v>0</v>
      </c>
      <c r="M94" s="1">
        <v>185</v>
      </c>
      <c r="N94" s="1">
        <v>700</v>
      </c>
      <c r="O94" s="1">
        <v>1413</v>
      </c>
      <c r="P94" s="1" t="s">
        <v>17</v>
      </c>
      <c r="Q94" t="str">
        <f>TEXT(dailyActivity_merged[[#This Row],[ActivityDate]],"dddd")</f>
        <v>Saturday</v>
      </c>
    </row>
    <row r="95" spans="1:17" x14ac:dyDescent="0.35">
      <c r="A95" s="1">
        <v>2026352035</v>
      </c>
      <c r="B95" s="2">
        <v>42470</v>
      </c>
      <c r="C95" s="1">
        <v>5142</v>
      </c>
      <c r="D95" s="1">
        <v>3.1900000569999998</v>
      </c>
      <c r="E95" s="1">
        <v>3.1900000569999998</v>
      </c>
      <c r="F95" s="1">
        <v>0</v>
      </c>
      <c r="G95" s="1">
        <v>0</v>
      </c>
      <c r="H95" s="1">
        <v>0</v>
      </c>
      <c r="I95" s="1">
        <v>3.1900000569999998</v>
      </c>
      <c r="J95" s="1">
        <v>0</v>
      </c>
      <c r="K95" s="1">
        <v>0</v>
      </c>
      <c r="L95" s="1">
        <v>0</v>
      </c>
      <c r="M95" s="1">
        <v>230</v>
      </c>
      <c r="N95" s="1">
        <v>654</v>
      </c>
      <c r="O95" s="1">
        <v>1515</v>
      </c>
      <c r="P95" s="1" t="s">
        <v>19</v>
      </c>
      <c r="Q95" t="str">
        <f>TEXT(dailyActivity_merged[[#This Row],[ActivityDate]],"dddd")</f>
        <v>Sunday</v>
      </c>
    </row>
    <row r="96" spans="1:17" x14ac:dyDescent="0.35">
      <c r="A96" s="1">
        <v>2026352035</v>
      </c>
      <c r="B96" s="2">
        <v>42471</v>
      </c>
      <c r="C96" s="1">
        <v>3279</v>
      </c>
      <c r="D96" s="1">
        <v>2.0299999710000001</v>
      </c>
      <c r="E96" s="1">
        <v>2.0299999710000001</v>
      </c>
      <c r="F96" s="1">
        <v>0</v>
      </c>
      <c r="G96" s="1">
        <v>0</v>
      </c>
      <c r="H96" s="1">
        <v>0</v>
      </c>
      <c r="I96" s="1">
        <v>2.0299999710000001</v>
      </c>
      <c r="J96" s="1">
        <v>0</v>
      </c>
      <c r="K96" s="1">
        <v>0</v>
      </c>
      <c r="L96" s="1">
        <v>0</v>
      </c>
      <c r="M96" s="1">
        <v>164</v>
      </c>
      <c r="N96" s="1">
        <v>694</v>
      </c>
      <c r="O96" s="1">
        <v>1405</v>
      </c>
      <c r="P96" s="1" t="s">
        <v>17</v>
      </c>
      <c r="Q96" t="str">
        <f>TEXT(dailyActivity_merged[[#This Row],[ActivityDate]],"dddd")</f>
        <v>Monday</v>
      </c>
    </row>
    <row r="97" spans="1:17" x14ac:dyDescent="0.35">
      <c r="A97" s="1">
        <v>2026352035</v>
      </c>
      <c r="B97" s="2">
        <v>42472</v>
      </c>
      <c r="C97" s="1">
        <v>1019</v>
      </c>
      <c r="D97" s="1">
        <v>0.62999999500000003</v>
      </c>
      <c r="E97" s="1">
        <v>0.62999999500000003</v>
      </c>
      <c r="F97" s="1">
        <v>0</v>
      </c>
      <c r="G97" s="1">
        <v>0</v>
      </c>
      <c r="H97" s="1">
        <v>0</v>
      </c>
      <c r="I97" s="1">
        <v>0.62999999500000003</v>
      </c>
      <c r="J97" s="1">
        <v>0</v>
      </c>
      <c r="K97" s="1">
        <v>0</v>
      </c>
      <c r="L97" s="1">
        <v>0</v>
      </c>
      <c r="M97" s="1">
        <v>64</v>
      </c>
      <c r="N97" s="1">
        <v>223</v>
      </c>
      <c r="O97" s="1">
        <v>600</v>
      </c>
      <c r="P97" s="1" t="s">
        <v>17</v>
      </c>
      <c r="Q97" t="str">
        <f>TEXT(dailyActivity_merged[[#This Row],[ActivityDate]],"dddd")</f>
        <v>Tuesday</v>
      </c>
    </row>
    <row r="98" spans="1:17" x14ac:dyDescent="0.35">
      <c r="A98" s="1">
        <v>2320127002</v>
      </c>
      <c r="B98" s="2">
        <v>42461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1440</v>
      </c>
      <c r="O98" s="1">
        <v>1324</v>
      </c>
      <c r="P98" s="1" t="s">
        <v>17</v>
      </c>
      <c r="Q98" t="str">
        <f>TEXT(dailyActivity_merged[[#This Row],[ActivityDate]],"dddd")</f>
        <v>Friday</v>
      </c>
    </row>
    <row r="99" spans="1:17" x14ac:dyDescent="0.35">
      <c r="A99" s="1">
        <v>2320127002</v>
      </c>
      <c r="B99" s="2">
        <v>42462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1440</v>
      </c>
      <c r="O99" s="1">
        <v>1324</v>
      </c>
      <c r="P99" s="1" t="s">
        <v>17</v>
      </c>
      <c r="Q99" t="str">
        <f>TEXT(dailyActivity_merged[[#This Row],[ActivityDate]],"dddd")</f>
        <v>Saturday</v>
      </c>
    </row>
    <row r="100" spans="1:17" x14ac:dyDescent="0.35">
      <c r="A100" s="1">
        <v>2320127002</v>
      </c>
      <c r="B100" s="2">
        <v>42463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1440</v>
      </c>
      <c r="O100" s="1">
        <v>1324</v>
      </c>
      <c r="P100" s="1" t="s">
        <v>17</v>
      </c>
      <c r="Q100" t="str">
        <f>TEXT(dailyActivity_merged[[#This Row],[ActivityDate]],"dddd")</f>
        <v>Sunday</v>
      </c>
    </row>
    <row r="101" spans="1:17" x14ac:dyDescent="0.35">
      <c r="A101" s="1">
        <v>2320127002</v>
      </c>
      <c r="B101" s="2">
        <v>42464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1440</v>
      </c>
      <c r="O101" s="1">
        <v>1324</v>
      </c>
      <c r="P101" s="1" t="s">
        <v>17</v>
      </c>
      <c r="Q101" t="str">
        <f>TEXT(dailyActivity_merged[[#This Row],[ActivityDate]],"dddd")</f>
        <v>Monday</v>
      </c>
    </row>
    <row r="102" spans="1:17" x14ac:dyDescent="0.35">
      <c r="A102" s="1">
        <v>2320127002</v>
      </c>
      <c r="B102" s="2">
        <v>42465</v>
      </c>
      <c r="C102" s="1">
        <v>4931</v>
      </c>
      <c r="D102" s="1">
        <v>3.3199999330000001</v>
      </c>
      <c r="E102" s="1">
        <v>3.3199999330000001</v>
      </c>
      <c r="F102" s="1">
        <v>0</v>
      </c>
      <c r="G102" s="1">
        <v>0</v>
      </c>
      <c r="H102" s="1">
        <v>0</v>
      </c>
      <c r="I102" s="1">
        <v>3.3199999330000001</v>
      </c>
      <c r="J102" s="1">
        <v>0</v>
      </c>
      <c r="K102" s="1">
        <v>0</v>
      </c>
      <c r="L102" s="1">
        <v>0</v>
      </c>
      <c r="M102" s="1">
        <v>175</v>
      </c>
      <c r="N102" s="1">
        <v>1265</v>
      </c>
      <c r="O102" s="1">
        <v>1708</v>
      </c>
      <c r="P102" s="1" t="s">
        <v>17</v>
      </c>
      <c r="Q102" t="str">
        <f>TEXT(dailyActivity_merged[[#This Row],[ActivityDate]],"dddd")</f>
        <v>Tuesday</v>
      </c>
    </row>
    <row r="103" spans="1:17" x14ac:dyDescent="0.35">
      <c r="A103" s="1">
        <v>2320127002</v>
      </c>
      <c r="B103" s="2">
        <v>42466</v>
      </c>
      <c r="C103" s="1">
        <v>6999</v>
      </c>
      <c r="D103" s="1">
        <v>4.7199997900000001</v>
      </c>
      <c r="E103" s="1">
        <v>4.7199997900000001</v>
      </c>
      <c r="F103" s="1">
        <v>0</v>
      </c>
      <c r="G103" s="1">
        <v>0</v>
      </c>
      <c r="H103" s="1">
        <v>0</v>
      </c>
      <c r="I103" s="1">
        <v>4.7199997900000001</v>
      </c>
      <c r="J103" s="1">
        <v>0</v>
      </c>
      <c r="K103" s="1">
        <v>0</v>
      </c>
      <c r="L103" s="1">
        <v>0</v>
      </c>
      <c r="M103" s="1">
        <v>320</v>
      </c>
      <c r="N103" s="1">
        <v>1120</v>
      </c>
      <c r="O103" s="1">
        <v>1950</v>
      </c>
      <c r="P103" s="1" t="s">
        <v>19</v>
      </c>
      <c r="Q103" t="str">
        <f>TEXT(dailyActivity_merged[[#This Row],[ActivityDate]],"dddd")</f>
        <v>Wednesday</v>
      </c>
    </row>
    <row r="104" spans="1:17" x14ac:dyDescent="0.35">
      <c r="A104" s="1">
        <v>2320127002</v>
      </c>
      <c r="B104" s="2">
        <v>42467</v>
      </c>
      <c r="C104" s="1">
        <v>1846</v>
      </c>
      <c r="D104" s="1">
        <v>1.2400000099999999</v>
      </c>
      <c r="E104" s="1">
        <v>1.2400000099999999</v>
      </c>
      <c r="F104" s="1">
        <v>0</v>
      </c>
      <c r="G104" s="1">
        <v>0</v>
      </c>
      <c r="H104" s="1">
        <v>0</v>
      </c>
      <c r="I104" s="1">
        <v>1.2400000099999999</v>
      </c>
      <c r="J104" s="1">
        <v>0</v>
      </c>
      <c r="K104" s="1">
        <v>0</v>
      </c>
      <c r="L104" s="1">
        <v>0</v>
      </c>
      <c r="M104" s="1">
        <v>93</v>
      </c>
      <c r="N104" s="1">
        <v>1347</v>
      </c>
      <c r="O104" s="1">
        <v>1508</v>
      </c>
      <c r="P104" s="1" t="s">
        <v>17</v>
      </c>
      <c r="Q104" t="str">
        <f>TEXT(dailyActivity_merged[[#This Row],[ActivityDate]],"dddd")</f>
        <v>Thursday</v>
      </c>
    </row>
    <row r="105" spans="1:17" x14ac:dyDescent="0.35">
      <c r="A105" s="1">
        <v>2320127002</v>
      </c>
      <c r="B105" s="2">
        <v>42468</v>
      </c>
      <c r="C105" s="1">
        <v>3417</v>
      </c>
      <c r="D105" s="1">
        <v>2.2999999519999998</v>
      </c>
      <c r="E105" s="1">
        <v>2.2999999519999998</v>
      </c>
      <c r="F105" s="1">
        <v>0</v>
      </c>
      <c r="G105" s="1">
        <v>0</v>
      </c>
      <c r="H105" s="1">
        <v>0</v>
      </c>
      <c r="I105" s="1">
        <v>2.2999999519999998</v>
      </c>
      <c r="J105" s="1">
        <v>0</v>
      </c>
      <c r="K105" s="1">
        <v>0</v>
      </c>
      <c r="L105" s="1">
        <v>0</v>
      </c>
      <c r="M105" s="1">
        <v>153</v>
      </c>
      <c r="N105" s="1">
        <v>1287</v>
      </c>
      <c r="O105" s="1">
        <v>1625</v>
      </c>
      <c r="P105" s="1" t="s">
        <v>17</v>
      </c>
      <c r="Q105" t="str">
        <f>TEXT(dailyActivity_merged[[#This Row],[ActivityDate]],"dddd")</f>
        <v>Friday</v>
      </c>
    </row>
    <row r="106" spans="1:17" x14ac:dyDescent="0.35">
      <c r="A106" s="1">
        <v>2320127002</v>
      </c>
      <c r="B106" s="2">
        <v>42469</v>
      </c>
      <c r="C106" s="1">
        <v>4863</v>
      </c>
      <c r="D106" s="1">
        <v>3.2799999710000001</v>
      </c>
      <c r="E106" s="1">
        <v>3.2799999710000001</v>
      </c>
      <c r="F106" s="1">
        <v>0</v>
      </c>
      <c r="G106" s="1">
        <v>5.9999998999999998E-2</v>
      </c>
      <c r="H106" s="1">
        <v>0.41999998700000002</v>
      </c>
      <c r="I106" s="1">
        <v>2.7999999519999998</v>
      </c>
      <c r="J106" s="1">
        <v>0</v>
      </c>
      <c r="K106" s="1">
        <v>1</v>
      </c>
      <c r="L106" s="1">
        <v>11</v>
      </c>
      <c r="M106" s="1">
        <v>208</v>
      </c>
      <c r="N106" s="1">
        <v>1220</v>
      </c>
      <c r="O106" s="1">
        <v>1772</v>
      </c>
      <c r="P106" s="1" t="s">
        <v>17</v>
      </c>
      <c r="Q106" t="str">
        <f>TEXT(dailyActivity_merged[[#This Row],[ActivityDate]],"dddd")</f>
        <v>Saturday</v>
      </c>
    </row>
    <row r="107" spans="1:17" x14ac:dyDescent="0.35">
      <c r="A107" s="1">
        <v>2320127002</v>
      </c>
      <c r="B107" s="2">
        <v>42470</v>
      </c>
      <c r="C107" s="1">
        <v>2277</v>
      </c>
      <c r="D107" s="1">
        <v>1.5299999710000001</v>
      </c>
      <c r="E107" s="1">
        <v>1.5299999710000001</v>
      </c>
      <c r="F107" s="1">
        <v>0</v>
      </c>
      <c r="G107" s="1">
        <v>0</v>
      </c>
      <c r="H107" s="1">
        <v>0</v>
      </c>
      <c r="I107" s="1">
        <v>1.5299999710000001</v>
      </c>
      <c r="J107" s="1">
        <v>0</v>
      </c>
      <c r="K107" s="1">
        <v>0</v>
      </c>
      <c r="L107" s="1">
        <v>0</v>
      </c>
      <c r="M107" s="1">
        <v>103</v>
      </c>
      <c r="N107" s="1">
        <v>1337</v>
      </c>
      <c r="O107" s="1">
        <v>1530</v>
      </c>
      <c r="P107" s="1" t="s">
        <v>17</v>
      </c>
      <c r="Q107" t="str">
        <f>TEXT(dailyActivity_merged[[#This Row],[ActivityDate]],"dddd")</f>
        <v>Sunday</v>
      </c>
    </row>
    <row r="108" spans="1:17" x14ac:dyDescent="0.35">
      <c r="A108" s="1">
        <v>2320127002</v>
      </c>
      <c r="B108" s="2">
        <v>42471</v>
      </c>
      <c r="C108" s="1">
        <v>11230</v>
      </c>
      <c r="D108" s="1">
        <v>7.670000076</v>
      </c>
      <c r="E108" s="1">
        <v>7.670000076</v>
      </c>
      <c r="F108" s="1">
        <v>0</v>
      </c>
      <c r="G108" s="1">
        <v>0.88999998599999997</v>
      </c>
      <c r="H108" s="1">
        <v>0.119999997</v>
      </c>
      <c r="I108" s="1">
        <v>6.6599998469999999</v>
      </c>
      <c r="J108" s="1">
        <v>0</v>
      </c>
      <c r="K108" s="1">
        <v>10</v>
      </c>
      <c r="L108" s="1">
        <v>2</v>
      </c>
      <c r="M108" s="1">
        <v>390</v>
      </c>
      <c r="N108" s="1">
        <v>1038</v>
      </c>
      <c r="O108" s="1">
        <v>2206</v>
      </c>
      <c r="P108" s="1" t="s">
        <v>16</v>
      </c>
      <c r="Q108" t="str">
        <f>TEXT(dailyActivity_merged[[#This Row],[ActivityDate]],"dddd")</f>
        <v>Monday</v>
      </c>
    </row>
    <row r="109" spans="1:17" x14ac:dyDescent="0.35">
      <c r="A109" s="1">
        <v>2320127002</v>
      </c>
      <c r="B109" s="2">
        <v>42472</v>
      </c>
      <c r="C109" s="1">
        <v>2098</v>
      </c>
      <c r="D109" s="1">
        <v>1.4099999670000001</v>
      </c>
      <c r="E109" s="1">
        <v>1.4099999670000001</v>
      </c>
      <c r="F109" s="1">
        <v>0</v>
      </c>
      <c r="G109" s="1">
        <v>0</v>
      </c>
      <c r="H109" s="1">
        <v>0</v>
      </c>
      <c r="I109" s="1">
        <v>1.4099999670000001</v>
      </c>
      <c r="J109" s="1">
        <v>0</v>
      </c>
      <c r="K109" s="1">
        <v>0</v>
      </c>
      <c r="L109" s="1">
        <v>0</v>
      </c>
      <c r="M109" s="1">
        <v>69</v>
      </c>
      <c r="N109" s="1">
        <v>617</v>
      </c>
      <c r="O109" s="1">
        <v>790</v>
      </c>
      <c r="P109" s="1" t="s">
        <v>17</v>
      </c>
      <c r="Q109" t="str">
        <f>TEXT(dailyActivity_merged[[#This Row],[ActivityDate]],"dddd")</f>
        <v>Tuesday</v>
      </c>
    </row>
    <row r="110" spans="1:17" x14ac:dyDescent="0.35">
      <c r="A110" s="1">
        <v>2347167796</v>
      </c>
      <c r="B110" s="2">
        <v>42458</v>
      </c>
      <c r="C110" s="1">
        <v>10272</v>
      </c>
      <c r="D110" s="1">
        <v>6.7899999619999996</v>
      </c>
      <c r="E110" s="1">
        <v>6.7899999619999996</v>
      </c>
      <c r="F110" s="1">
        <v>0</v>
      </c>
      <c r="G110" s="1">
        <v>0.15999999600000001</v>
      </c>
      <c r="H110" s="1">
        <v>3.119999886</v>
      </c>
      <c r="I110" s="1">
        <v>3.5</v>
      </c>
      <c r="J110" s="1">
        <v>0</v>
      </c>
      <c r="K110" s="1">
        <v>2</v>
      </c>
      <c r="L110" s="1">
        <v>58</v>
      </c>
      <c r="M110" s="1">
        <v>208</v>
      </c>
      <c r="N110" s="1">
        <v>700</v>
      </c>
      <c r="O110" s="1">
        <v>2041</v>
      </c>
      <c r="P110" s="1" t="s">
        <v>16</v>
      </c>
      <c r="Q110" t="str">
        <f>TEXT(dailyActivity_merged[[#This Row],[ActivityDate]],"dddd")</f>
        <v>Tuesday</v>
      </c>
    </row>
    <row r="111" spans="1:17" x14ac:dyDescent="0.35">
      <c r="A111" s="1">
        <v>2347167796</v>
      </c>
      <c r="B111" s="2">
        <v>42459</v>
      </c>
      <c r="C111" s="1">
        <v>10533</v>
      </c>
      <c r="D111" s="1">
        <v>7.0999999049999998</v>
      </c>
      <c r="E111" s="1">
        <v>7.0999999049999998</v>
      </c>
      <c r="F111" s="1">
        <v>0</v>
      </c>
      <c r="G111" s="1">
        <v>1.769999981</v>
      </c>
      <c r="H111" s="1">
        <v>2.0599999430000002</v>
      </c>
      <c r="I111" s="1">
        <v>3.2699999809999998</v>
      </c>
      <c r="J111" s="1">
        <v>0</v>
      </c>
      <c r="K111" s="1">
        <v>21</v>
      </c>
      <c r="L111" s="1">
        <v>35</v>
      </c>
      <c r="M111" s="1">
        <v>255</v>
      </c>
      <c r="N111" s="1">
        <v>615</v>
      </c>
      <c r="O111" s="1">
        <v>2187</v>
      </c>
      <c r="P111" s="1" t="s">
        <v>16</v>
      </c>
      <c r="Q111" t="str">
        <f>TEXT(dailyActivity_merged[[#This Row],[ActivityDate]],"dddd")</f>
        <v>Wednesday</v>
      </c>
    </row>
    <row r="112" spans="1:17" x14ac:dyDescent="0.35">
      <c r="A112" s="1">
        <v>2347167796</v>
      </c>
      <c r="B112" s="2">
        <v>42460</v>
      </c>
      <c r="C112" s="1">
        <v>6760</v>
      </c>
      <c r="D112" s="1">
        <v>4.4699997900000001</v>
      </c>
      <c r="E112" s="1">
        <v>4.4699997900000001</v>
      </c>
      <c r="F112" s="1">
        <v>0</v>
      </c>
      <c r="G112" s="1">
        <v>0</v>
      </c>
      <c r="H112" s="1">
        <v>0</v>
      </c>
      <c r="I112" s="1">
        <v>4.4699997900000001</v>
      </c>
      <c r="J112" s="1">
        <v>0</v>
      </c>
      <c r="K112" s="1">
        <v>0</v>
      </c>
      <c r="L112" s="1">
        <v>0</v>
      </c>
      <c r="M112" s="1">
        <v>250</v>
      </c>
      <c r="N112" s="1">
        <v>613</v>
      </c>
      <c r="O112" s="1">
        <v>1929</v>
      </c>
      <c r="P112" s="1" t="s">
        <v>19</v>
      </c>
      <c r="Q112" t="str">
        <f>TEXT(dailyActivity_merged[[#This Row],[ActivityDate]],"dddd")</f>
        <v>Thursday</v>
      </c>
    </row>
    <row r="113" spans="1:17" x14ac:dyDescent="0.35">
      <c r="A113" s="1">
        <v>2347167796</v>
      </c>
      <c r="B113" s="2">
        <v>42461</v>
      </c>
      <c r="C113" s="1">
        <v>8328</v>
      </c>
      <c r="D113" s="1">
        <v>5.5100002290000001</v>
      </c>
      <c r="E113" s="1">
        <v>5.5100002290000001</v>
      </c>
      <c r="F113" s="1">
        <v>0</v>
      </c>
      <c r="G113" s="1">
        <v>0</v>
      </c>
      <c r="H113" s="1">
        <v>2</v>
      </c>
      <c r="I113" s="1">
        <v>3.5</v>
      </c>
      <c r="J113" s="1">
        <v>0</v>
      </c>
      <c r="K113" s="1">
        <v>0</v>
      </c>
      <c r="L113" s="1">
        <v>33</v>
      </c>
      <c r="M113" s="1">
        <v>212</v>
      </c>
      <c r="N113" s="1">
        <v>804</v>
      </c>
      <c r="O113" s="1">
        <v>1935</v>
      </c>
      <c r="P113" s="1" t="s">
        <v>18</v>
      </c>
      <c r="Q113" t="str">
        <f>TEXT(dailyActivity_merged[[#This Row],[ActivityDate]],"dddd")</f>
        <v>Friday</v>
      </c>
    </row>
    <row r="114" spans="1:17" x14ac:dyDescent="0.35">
      <c r="A114" s="1">
        <v>2347167796</v>
      </c>
      <c r="B114" s="2">
        <v>42462</v>
      </c>
      <c r="C114" s="1">
        <v>15459</v>
      </c>
      <c r="D114" s="1">
        <v>10.22000027</v>
      </c>
      <c r="E114" s="1">
        <v>10.22000027</v>
      </c>
      <c r="F114" s="1">
        <v>0</v>
      </c>
      <c r="G114" s="1">
        <v>3.5899999139999998</v>
      </c>
      <c r="H114" s="1">
        <v>0.810000002</v>
      </c>
      <c r="I114" s="1">
        <v>5.8200001720000003</v>
      </c>
      <c r="J114" s="1">
        <v>0</v>
      </c>
      <c r="K114" s="1">
        <v>51</v>
      </c>
      <c r="L114" s="1">
        <v>16</v>
      </c>
      <c r="M114" s="1">
        <v>327</v>
      </c>
      <c r="N114" s="1">
        <v>583</v>
      </c>
      <c r="O114" s="1">
        <v>2438</v>
      </c>
      <c r="P114" s="1" t="s">
        <v>16</v>
      </c>
      <c r="Q114" t="str">
        <f>TEXT(dailyActivity_merged[[#This Row],[ActivityDate]],"dddd")</f>
        <v>Saturday</v>
      </c>
    </row>
    <row r="115" spans="1:17" x14ac:dyDescent="0.35">
      <c r="A115" s="1">
        <v>2347167796</v>
      </c>
      <c r="B115" s="2">
        <v>42463</v>
      </c>
      <c r="C115" s="1">
        <v>7485</v>
      </c>
      <c r="D115" s="1">
        <v>4.9499998090000004</v>
      </c>
      <c r="E115" s="1">
        <v>4.9499998090000004</v>
      </c>
      <c r="F115" s="1">
        <v>0</v>
      </c>
      <c r="G115" s="1">
        <v>0</v>
      </c>
      <c r="H115" s="1">
        <v>0</v>
      </c>
      <c r="I115" s="1">
        <v>4.9499998090000004</v>
      </c>
      <c r="J115" s="1">
        <v>0</v>
      </c>
      <c r="K115" s="1">
        <v>0</v>
      </c>
      <c r="L115" s="1">
        <v>0</v>
      </c>
      <c r="M115" s="1">
        <v>324</v>
      </c>
      <c r="N115" s="1">
        <v>491</v>
      </c>
      <c r="O115" s="1">
        <v>2035</v>
      </c>
      <c r="P115" s="1" t="s">
        <v>19</v>
      </c>
      <c r="Q115" t="str">
        <f>TEXT(dailyActivity_merged[[#This Row],[ActivityDate]],"dddd")</f>
        <v>Sunday</v>
      </c>
    </row>
    <row r="116" spans="1:17" x14ac:dyDescent="0.35">
      <c r="A116" s="1">
        <v>2347167796</v>
      </c>
      <c r="B116" s="2">
        <v>42464</v>
      </c>
      <c r="C116" s="1">
        <v>10254</v>
      </c>
      <c r="D116" s="1">
        <v>6.8000001909999996</v>
      </c>
      <c r="E116" s="1">
        <v>6.8000001909999996</v>
      </c>
      <c r="F116" s="1">
        <v>0</v>
      </c>
      <c r="G116" s="1">
        <v>1.4199999569999999</v>
      </c>
      <c r="H116" s="1">
        <v>1.230000019</v>
      </c>
      <c r="I116" s="1">
        <v>4.1599998469999999</v>
      </c>
      <c r="J116" s="1">
        <v>0</v>
      </c>
      <c r="K116" s="1">
        <v>21</v>
      </c>
      <c r="L116" s="1">
        <v>25</v>
      </c>
      <c r="M116" s="1">
        <v>231</v>
      </c>
      <c r="N116" s="1">
        <v>638</v>
      </c>
      <c r="O116" s="1">
        <v>2099</v>
      </c>
      <c r="P116" s="1" t="s">
        <v>16</v>
      </c>
      <c r="Q116" t="str">
        <f>TEXT(dailyActivity_merged[[#This Row],[ActivityDate]],"dddd")</f>
        <v>Monday</v>
      </c>
    </row>
    <row r="117" spans="1:17" x14ac:dyDescent="0.35">
      <c r="A117" s="1">
        <v>2347167796</v>
      </c>
      <c r="B117" s="2">
        <v>42465</v>
      </c>
      <c r="C117" s="1">
        <v>10114</v>
      </c>
      <c r="D117" s="1">
        <v>6.8200001720000003</v>
      </c>
      <c r="E117" s="1">
        <v>6.8200001720000003</v>
      </c>
      <c r="F117" s="1">
        <v>0</v>
      </c>
      <c r="G117" s="1">
        <v>1.6399999860000001</v>
      </c>
      <c r="H117" s="1">
        <v>0.47999998900000002</v>
      </c>
      <c r="I117" s="1">
        <v>4.6799998279999997</v>
      </c>
      <c r="J117" s="1">
        <v>0</v>
      </c>
      <c r="K117" s="1">
        <v>18</v>
      </c>
      <c r="L117" s="1">
        <v>9</v>
      </c>
      <c r="M117" s="1">
        <v>269</v>
      </c>
      <c r="N117" s="1">
        <v>696</v>
      </c>
      <c r="O117" s="1">
        <v>2096</v>
      </c>
      <c r="P117" s="1" t="s">
        <v>16</v>
      </c>
      <c r="Q117" t="str">
        <f>TEXT(dailyActivity_merged[[#This Row],[ActivityDate]],"dddd")</f>
        <v>Tuesday</v>
      </c>
    </row>
    <row r="118" spans="1:17" x14ac:dyDescent="0.35">
      <c r="A118" s="1">
        <v>2347167796</v>
      </c>
      <c r="B118" s="2">
        <v>42466</v>
      </c>
      <c r="C118" s="1">
        <v>11107</v>
      </c>
      <c r="D118" s="1">
        <v>7.3400001530000001</v>
      </c>
      <c r="E118" s="1">
        <v>7.3400001530000001</v>
      </c>
      <c r="F118" s="1">
        <v>0</v>
      </c>
      <c r="G118" s="1">
        <v>0.89999997600000003</v>
      </c>
      <c r="H118" s="1">
        <v>2.7599999899999998</v>
      </c>
      <c r="I118" s="1">
        <v>3.6800000669999999</v>
      </c>
      <c r="J118" s="1">
        <v>0</v>
      </c>
      <c r="K118" s="1">
        <v>14</v>
      </c>
      <c r="L118" s="1">
        <v>46</v>
      </c>
      <c r="M118" s="1">
        <v>196</v>
      </c>
      <c r="N118" s="1">
        <v>759</v>
      </c>
      <c r="O118" s="1">
        <v>2058</v>
      </c>
      <c r="P118" s="1" t="s">
        <v>16</v>
      </c>
      <c r="Q118" t="str">
        <f>TEXT(dailyActivity_merged[[#This Row],[ActivityDate]],"dddd")</f>
        <v>Wednesday</v>
      </c>
    </row>
    <row r="119" spans="1:17" x14ac:dyDescent="0.35">
      <c r="A119" s="1">
        <v>2347167796</v>
      </c>
      <c r="B119" s="2">
        <v>42467</v>
      </c>
      <c r="C119" s="1">
        <v>10320</v>
      </c>
      <c r="D119" s="1">
        <v>6.8499999049999998</v>
      </c>
      <c r="E119" s="1">
        <v>6.8499999049999998</v>
      </c>
      <c r="F119" s="1">
        <v>0</v>
      </c>
      <c r="G119" s="1">
        <v>0.68000000699999996</v>
      </c>
      <c r="H119" s="1">
        <v>1.230000019</v>
      </c>
      <c r="I119" s="1">
        <v>4.9400000569999998</v>
      </c>
      <c r="J119" s="1">
        <v>0</v>
      </c>
      <c r="K119" s="1">
        <v>15</v>
      </c>
      <c r="L119" s="1">
        <v>32</v>
      </c>
      <c r="M119" s="1">
        <v>315</v>
      </c>
      <c r="N119" s="1">
        <v>1002</v>
      </c>
      <c r="O119" s="1">
        <v>2338</v>
      </c>
      <c r="P119" s="1" t="s">
        <v>16</v>
      </c>
      <c r="Q119" t="str">
        <f>TEXT(dailyActivity_merged[[#This Row],[ActivityDate]],"dddd")</f>
        <v>Thursday</v>
      </c>
    </row>
    <row r="120" spans="1:17" x14ac:dyDescent="0.35">
      <c r="A120" s="1">
        <v>2347167796</v>
      </c>
      <c r="B120" s="2">
        <v>42468</v>
      </c>
      <c r="C120" s="1">
        <v>10209</v>
      </c>
      <c r="D120" s="1">
        <v>6.75</v>
      </c>
      <c r="E120" s="1">
        <v>6.75</v>
      </c>
      <c r="F120" s="1">
        <v>0</v>
      </c>
      <c r="G120" s="1">
        <v>0.15999999600000001</v>
      </c>
      <c r="H120" s="1">
        <v>0.34999999399999998</v>
      </c>
      <c r="I120" s="1">
        <v>6.2300000190000002</v>
      </c>
      <c r="J120" s="1">
        <v>0</v>
      </c>
      <c r="K120" s="1">
        <v>2</v>
      </c>
      <c r="L120" s="1">
        <v>6</v>
      </c>
      <c r="M120" s="1">
        <v>316</v>
      </c>
      <c r="N120" s="1">
        <v>711</v>
      </c>
      <c r="O120" s="1">
        <v>2104</v>
      </c>
      <c r="P120" s="1" t="s">
        <v>16</v>
      </c>
      <c r="Q120" t="str">
        <f>TEXT(dailyActivity_merged[[#This Row],[ActivityDate]],"dddd")</f>
        <v>Friday</v>
      </c>
    </row>
    <row r="121" spans="1:17" x14ac:dyDescent="0.35">
      <c r="A121" s="1">
        <v>2347167796</v>
      </c>
      <c r="B121" s="2">
        <v>42469</v>
      </c>
      <c r="C121" s="1">
        <v>16081</v>
      </c>
      <c r="D121" s="1">
        <v>10.630000109999999</v>
      </c>
      <c r="E121" s="1">
        <v>10.630000109999999</v>
      </c>
      <c r="F121" s="1">
        <v>0</v>
      </c>
      <c r="G121" s="1">
        <v>1.25</v>
      </c>
      <c r="H121" s="1">
        <v>1.8200000519999999</v>
      </c>
      <c r="I121" s="1">
        <v>7.5599999430000002</v>
      </c>
      <c r="J121" s="1">
        <v>0</v>
      </c>
      <c r="K121" s="1">
        <v>16</v>
      </c>
      <c r="L121" s="1">
        <v>32</v>
      </c>
      <c r="M121" s="1">
        <v>401</v>
      </c>
      <c r="N121" s="1">
        <v>970</v>
      </c>
      <c r="O121" s="1">
        <v>2488</v>
      </c>
      <c r="P121" s="1" t="s">
        <v>16</v>
      </c>
      <c r="Q121" t="str">
        <f>TEXT(dailyActivity_merged[[#This Row],[ActivityDate]],"dddd")</f>
        <v>Saturday</v>
      </c>
    </row>
    <row r="122" spans="1:17" x14ac:dyDescent="0.35">
      <c r="A122" s="1">
        <v>2347167796</v>
      </c>
      <c r="B122" s="2">
        <v>42470</v>
      </c>
      <c r="C122" s="1">
        <v>10078</v>
      </c>
      <c r="D122" s="1">
        <v>6.829999924</v>
      </c>
      <c r="E122" s="1">
        <v>6.829999924</v>
      </c>
      <c r="F122" s="1">
        <v>0</v>
      </c>
      <c r="G122" s="1">
        <v>1.019999981</v>
      </c>
      <c r="H122" s="1">
        <v>0.119999997</v>
      </c>
      <c r="I122" s="1">
        <v>5.6900000569999998</v>
      </c>
      <c r="J122" s="1">
        <v>0</v>
      </c>
      <c r="K122" s="1">
        <v>12</v>
      </c>
      <c r="L122" s="1">
        <v>3</v>
      </c>
      <c r="M122" s="1">
        <v>303</v>
      </c>
      <c r="N122" s="1">
        <v>463</v>
      </c>
      <c r="O122" s="1">
        <v>2164</v>
      </c>
      <c r="P122" s="1" t="s">
        <v>16</v>
      </c>
      <c r="Q122" t="str">
        <f>TEXT(dailyActivity_merged[[#This Row],[ActivityDate]],"dddd")</f>
        <v>Sunday</v>
      </c>
    </row>
    <row r="123" spans="1:17" x14ac:dyDescent="0.35">
      <c r="A123" s="1">
        <v>2347167796</v>
      </c>
      <c r="B123" s="2">
        <v>42471</v>
      </c>
      <c r="C123" s="1">
        <v>10001</v>
      </c>
      <c r="D123" s="1">
        <v>6.6100001339999999</v>
      </c>
      <c r="E123" s="1">
        <v>6.6100001339999999</v>
      </c>
      <c r="F123" s="1">
        <v>0</v>
      </c>
      <c r="G123" s="1">
        <v>0.33000001299999998</v>
      </c>
      <c r="H123" s="1">
        <v>2.9300000669999999</v>
      </c>
      <c r="I123" s="1">
        <v>3.3599998950000001</v>
      </c>
      <c r="J123" s="1">
        <v>0</v>
      </c>
      <c r="K123" s="1">
        <v>5</v>
      </c>
      <c r="L123" s="1">
        <v>52</v>
      </c>
      <c r="M123" s="1">
        <v>196</v>
      </c>
      <c r="N123" s="1">
        <v>788</v>
      </c>
      <c r="O123" s="1">
        <v>2009</v>
      </c>
      <c r="P123" s="1" t="s">
        <v>16</v>
      </c>
      <c r="Q123" t="str">
        <f>TEXT(dailyActivity_merged[[#This Row],[ActivityDate]],"dddd")</f>
        <v>Monday</v>
      </c>
    </row>
    <row r="124" spans="1:17" x14ac:dyDescent="0.35">
      <c r="A124" s="1">
        <v>2347167796</v>
      </c>
      <c r="B124" s="2">
        <v>42472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425</v>
      </c>
      <c r="O124" s="1">
        <v>399</v>
      </c>
      <c r="P124" s="1" t="s">
        <v>17</v>
      </c>
      <c r="Q124" t="str">
        <f>TEXT(dailyActivity_merged[[#This Row],[ActivityDate]],"dddd")</f>
        <v>Tuesday</v>
      </c>
    </row>
    <row r="125" spans="1:17" x14ac:dyDescent="0.35">
      <c r="A125" s="1">
        <v>2873212765</v>
      </c>
      <c r="B125" s="2">
        <v>42461</v>
      </c>
      <c r="C125" s="1">
        <v>890</v>
      </c>
      <c r="D125" s="1">
        <v>0.60000002399999997</v>
      </c>
      <c r="E125" s="1">
        <v>0.60000002399999997</v>
      </c>
      <c r="F125" s="1">
        <v>0</v>
      </c>
      <c r="G125" s="1">
        <v>0</v>
      </c>
      <c r="H125" s="1">
        <v>0</v>
      </c>
      <c r="I125" s="1">
        <v>0.60000002399999997</v>
      </c>
      <c r="J125" s="1">
        <v>0</v>
      </c>
      <c r="K125" s="1">
        <v>0</v>
      </c>
      <c r="L125" s="1">
        <v>0</v>
      </c>
      <c r="M125" s="1">
        <v>41</v>
      </c>
      <c r="N125" s="1">
        <v>1399</v>
      </c>
      <c r="O125" s="1">
        <v>1335</v>
      </c>
      <c r="P125" s="1" t="s">
        <v>17</v>
      </c>
      <c r="Q125" t="str">
        <f>TEXT(dailyActivity_merged[[#This Row],[ActivityDate]],"dddd")</f>
        <v>Friday</v>
      </c>
    </row>
    <row r="126" spans="1:17" x14ac:dyDescent="0.35">
      <c r="A126" s="1">
        <v>2873212765</v>
      </c>
      <c r="B126" s="2">
        <v>42462</v>
      </c>
      <c r="C126" s="1">
        <v>2214</v>
      </c>
      <c r="D126" s="1">
        <v>1.4900000099999999</v>
      </c>
      <c r="E126" s="1">
        <v>1.4900000099999999</v>
      </c>
      <c r="F126" s="1">
        <v>0</v>
      </c>
      <c r="G126" s="1">
        <v>0</v>
      </c>
      <c r="H126" s="1">
        <v>0</v>
      </c>
      <c r="I126" s="1">
        <v>1.4900000099999999</v>
      </c>
      <c r="J126" s="1">
        <v>0</v>
      </c>
      <c r="K126" s="1">
        <v>0</v>
      </c>
      <c r="L126" s="1">
        <v>0</v>
      </c>
      <c r="M126" s="1">
        <v>197</v>
      </c>
      <c r="N126" s="1">
        <v>1243</v>
      </c>
      <c r="O126" s="1">
        <v>1559</v>
      </c>
      <c r="P126" s="1" t="s">
        <v>17</v>
      </c>
      <c r="Q126" t="str">
        <f>TEXT(dailyActivity_merged[[#This Row],[ActivityDate]],"dddd")</f>
        <v>Saturday</v>
      </c>
    </row>
    <row r="127" spans="1:17" x14ac:dyDescent="0.35">
      <c r="A127" s="1">
        <v>2873212765</v>
      </c>
      <c r="B127" s="2">
        <v>42463</v>
      </c>
      <c r="C127" s="1">
        <v>7640</v>
      </c>
      <c r="D127" s="1">
        <v>5.1300001139999996</v>
      </c>
      <c r="E127" s="1">
        <v>5.1300001139999996</v>
      </c>
      <c r="F127" s="1">
        <v>0</v>
      </c>
      <c r="G127" s="1">
        <v>0.189999998</v>
      </c>
      <c r="H127" s="1">
        <v>0.80000001200000004</v>
      </c>
      <c r="I127" s="1">
        <v>4.1500000950000002</v>
      </c>
      <c r="J127" s="1">
        <v>0</v>
      </c>
      <c r="K127" s="1">
        <v>3</v>
      </c>
      <c r="L127" s="1">
        <v>15</v>
      </c>
      <c r="M127" s="1">
        <v>315</v>
      </c>
      <c r="N127" s="1">
        <v>1107</v>
      </c>
      <c r="O127" s="1">
        <v>1845</v>
      </c>
      <c r="P127" s="1" t="s">
        <v>18</v>
      </c>
      <c r="Q127" t="str">
        <f>TEXT(dailyActivity_merged[[#This Row],[ActivityDate]],"dddd")</f>
        <v>Sunday</v>
      </c>
    </row>
    <row r="128" spans="1:17" x14ac:dyDescent="0.35">
      <c r="A128" s="1">
        <v>2873212765</v>
      </c>
      <c r="B128" s="2">
        <v>42464</v>
      </c>
      <c r="C128" s="1">
        <v>9713</v>
      </c>
      <c r="D128" s="1">
        <v>6.5300002099999999</v>
      </c>
      <c r="E128" s="1">
        <v>6.5300002099999999</v>
      </c>
      <c r="F128" s="1">
        <v>0</v>
      </c>
      <c r="G128" s="1">
        <v>0.34000000400000002</v>
      </c>
      <c r="H128" s="1">
        <v>0.88999998599999997</v>
      </c>
      <c r="I128" s="1">
        <v>5.2899999619999996</v>
      </c>
      <c r="J128" s="1">
        <v>0</v>
      </c>
      <c r="K128" s="1">
        <v>6</v>
      </c>
      <c r="L128" s="1">
        <v>24</v>
      </c>
      <c r="M128" s="1">
        <v>355</v>
      </c>
      <c r="N128" s="1">
        <v>1055</v>
      </c>
      <c r="O128" s="1">
        <v>2046</v>
      </c>
      <c r="P128" s="1" t="s">
        <v>18</v>
      </c>
      <c r="Q128" t="str">
        <f>TEXT(dailyActivity_merged[[#This Row],[ActivityDate]],"dddd")</f>
        <v>Monday</v>
      </c>
    </row>
    <row r="129" spans="1:17" x14ac:dyDescent="0.35">
      <c r="A129" s="1">
        <v>2873212765</v>
      </c>
      <c r="B129" s="2">
        <v>42465</v>
      </c>
      <c r="C129" s="1">
        <v>8432</v>
      </c>
      <c r="D129" s="1">
        <v>5.670000076</v>
      </c>
      <c r="E129" s="1">
        <v>5.670000076</v>
      </c>
      <c r="F129" s="1">
        <v>0</v>
      </c>
      <c r="G129" s="1">
        <v>0</v>
      </c>
      <c r="H129" s="1">
        <v>0</v>
      </c>
      <c r="I129" s="1">
        <v>5.6500000950000002</v>
      </c>
      <c r="J129" s="1">
        <v>0.01</v>
      </c>
      <c r="K129" s="1">
        <v>0</v>
      </c>
      <c r="L129" s="1">
        <v>0</v>
      </c>
      <c r="M129" s="1">
        <v>374</v>
      </c>
      <c r="N129" s="1">
        <v>1066</v>
      </c>
      <c r="O129" s="1">
        <v>1953</v>
      </c>
      <c r="P129" s="1" t="s">
        <v>18</v>
      </c>
      <c r="Q129" t="str">
        <f>TEXT(dailyActivity_merged[[#This Row],[ActivityDate]],"dddd")</f>
        <v>Tuesday</v>
      </c>
    </row>
    <row r="130" spans="1:17" x14ac:dyDescent="0.35">
      <c r="A130" s="1">
        <v>2873212765</v>
      </c>
      <c r="B130" s="2">
        <v>42466</v>
      </c>
      <c r="C130" s="1">
        <v>7350</v>
      </c>
      <c r="D130" s="1">
        <v>4.9400000569999998</v>
      </c>
      <c r="E130" s="1">
        <v>4.9400000569999998</v>
      </c>
      <c r="F130" s="1">
        <v>0</v>
      </c>
      <c r="G130" s="1">
        <v>0</v>
      </c>
      <c r="H130" s="1">
        <v>0</v>
      </c>
      <c r="I130" s="1">
        <v>4.9400000569999998</v>
      </c>
      <c r="J130" s="1">
        <v>0</v>
      </c>
      <c r="K130" s="1">
        <v>0</v>
      </c>
      <c r="L130" s="1">
        <v>0</v>
      </c>
      <c r="M130" s="1">
        <v>382</v>
      </c>
      <c r="N130" s="1">
        <v>1058</v>
      </c>
      <c r="O130" s="1">
        <v>1910</v>
      </c>
      <c r="P130" s="1" t="s">
        <v>19</v>
      </c>
      <c r="Q130" t="str">
        <f>TEXT(dailyActivity_merged[[#This Row],[ActivityDate]],"dddd")</f>
        <v>Wednesday</v>
      </c>
    </row>
    <row r="131" spans="1:17" x14ac:dyDescent="0.35">
      <c r="A131" s="1">
        <v>2873212765</v>
      </c>
      <c r="B131" s="2">
        <v>42467</v>
      </c>
      <c r="C131" s="1">
        <v>9353</v>
      </c>
      <c r="D131" s="1">
        <v>6.3099999430000002</v>
      </c>
      <c r="E131" s="1">
        <v>6.3099999430000002</v>
      </c>
      <c r="F131" s="1">
        <v>0</v>
      </c>
      <c r="G131" s="1">
        <v>0.37000000500000002</v>
      </c>
      <c r="H131" s="1">
        <v>0.689999998</v>
      </c>
      <c r="I131" s="1">
        <v>5.2399997709999999</v>
      </c>
      <c r="J131" s="1">
        <v>0</v>
      </c>
      <c r="K131" s="1">
        <v>5</v>
      </c>
      <c r="L131" s="1">
        <v>17</v>
      </c>
      <c r="M131" s="1">
        <v>363</v>
      </c>
      <c r="N131" s="1">
        <v>1055</v>
      </c>
      <c r="O131" s="1">
        <v>2035</v>
      </c>
      <c r="P131" s="1" t="s">
        <v>18</v>
      </c>
      <c r="Q131" t="str">
        <f>TEXT(dailyActivity_merged[[#This Row],[ActivityDate]],"dddd")</f>
        <v>Thursday</v>
      </c>
    </row>
    <row r="132" spans="1:17" x14ac:dyDescent="0.35">
      <c r="A132" s="1">
        <v>2873212765</v>
      </c>
      <c r="B132" s="2">
        <v>42468</v>
      </c>
      <c r="C132" s="1">
        <v>7157</v>
      </c>
      <c r="D132" s="1">
        <v>4.8099999430000002</v>
      </c>
      <c r="E132" s="1">
        <v>4.8099999430000002</v>
      </c>
      <c r="F132" s="1">
        <v>0</v>
      </c>
      <c r="G132" s="1">
        <v>0</v>
      </c>
      <c r="H132" s="1">
        <v>0</v>
      </c>
      <c r="I132" s="1">
        <v>4.8099999430000002</v>
      </c>
      <c r="J132" s="1">
        <v>0</v>
      </c>
      <c r="K132" s="1">
        <v>0</v>
      </c>
      <c r="L132" s="1">
        <v>0</v>
      </c>
      <c r="M132" s="1">
        <v>380</v>
      </c>
      <c r="N132" s="1">
        <v>1060</v>
      </c>
      <c r="O132" s="1">
        <v>1944</v>
      </c>
      <c r="P132" s="1" t="s">
        <v>19</v>
      </c>
      <c r="Q132" t="str">
        <f>TEXT(dailyActivity_merged[[#This Row],[ActivityDate]],"dddd")</f>
        <v>Friday</v>
      </c>
    </row>
    <row r="133" spans="1:17" x14ac:dyDescent="0.35">
      <c r="A133" s="1">
        <v>2873212765</v>
      </c>
      <c r="B133" s="2">
        <v>42469</v>
      </c>
      <c r="C133" s="1">
        <v>14103</v>
      </c>
      <c r="D133" s="1">
        <v>9.5600004199999997</v>
      </c>
      <c r="E133" s="1">
        <v>9.5600004199999997</v>
      </c>
      <c r="F133" s="1">
        <v>0</v>
      </c>
      <c r="G133" s="1">
        <v>3.0199999809999998</v>
      </c>
      <c r="H133" s="1">
        <v>0.40999999599999998</v>
      </c>
      <c r="I133" s="1">
        <v>6.1399998660000001</v>
      </c>
      <c r="J133" s="1">
        <v>0.01</v>
      </c>
      <c r="K133" s="1">
        <v>46</v>
      </c>
      <c r="L133" s="1">
        <v>8</v>
      </c>
      <c r="M133" s="1">
        <v>288</v>
      </c>
      <c r="N133" s="1">
        <v>1098</v>
      </c>
      <c r="O133" s="1">
        <v>2257</v>
      </c>
      <c r="P133" s="1" t="s">
        <v>16</v>
      </c>
      <c r="Q133" t="str">
        <f>TEXT(dailyActivity_merged[[#This Row],[ActivityDate]],"dddd")</f>
        <v>Saturday</v>
      </c>
    </row>
    <row r="134" spans="1:17" x14ac:dyDescent="0.35">
      <c r="A134" s="1">
        <v>2873212765</v>
      </c>
      <c r="B134" s="2">
        <v>42470</v>
      </c>
      <c r="C134" s="1">
        <v>5290</v>
      </c>
      <c r="D134" s="1">
        <v>3.5499999519999998</v>
      </c>
      <c r="E134" s="1">
        <v>3.5499999519999998</v>
      </c>
      <c r="F134" s="1">
        <v>0</v>
      </c>
      <c r="G134" s="1">
        <v>3.9999999000000001E-2</v>
      </c>
      <c r="H134" s="1">
        <v>0.34000000400000002</v>
      </c>
      <c r="I134" s="1">
        <v>3.170000076</v>
      </c>
      <c r="J134" s="1">
        <v>0</v>
      </c>
      <c r="K134" s="1">
        <v>1</v>
      </c>
      <c r="L134" s="1">
        <v>8</v>
      </c>
      <c r="M134" s="1">
        <v>251</v>
      </c>
      <c r="N134" s="1">
        <v>1180</v>
      </c>
      <c r="O134" s="1">
        <v>1724</v>
      </c>
      <c r="P134" s="1" t="s">
        <v>19</v>
      </c>
      <c r="Q134" t="str">
        <f>TEXT(dailyActivity_merged[[#This Row],[ActivityDate]],"dddd")</f>
        <v>Sunday</v>
      </c>
    </row>
    <row r="135" spans="1:17" x14ac:dyDescent="0.35">
      <c r="A135" s="1">
        <v>2873212765</v>
      </c>
      <c r="B135" s="2">
        <v>42471</v>
      </c>
      <c r="C135" s="1">
        <v>7497</v>
      </c>
      <c r="D135" s="1">
        <v>5.0399999619999996</v>
      </c>
      <c r="E135" s="1">
        <v>5.0399999619999996</v>
      </c>
      <c r="F135" s="1">
        <v>0</v>
      </c>
      <c r="G135" s="1">
        <v>0</v>
      </c>
      <c r="H135" s="1">
        <v>0</v>
      </c>
      <c r="I135" s="1">
        <v>5.0399999619999996</v>
      </c>
      <c r="J135" s="1">
        <v>0</v>
      </c>
      <c r="K135" s="1">
        <v>0</v>
      </c>
      <c r="L135" s="1">
        <v>0</v>
      </c>
      <c r="M135" s="1">
        <v>357</v>
      </c>
      <c r="N135" s="1">
        <v>882</v>
      </c>
      <c r="O135" s="1">
        <v>1741</v>
      </c>
      <c r="P135" s="1" t="s">
        <v>19</v>
      </c>
      <c r="Q135" t="str">
        <f>TEXT(dailyActivity_merged[[#This Row],[ActivityDate]],"dddd")</f>
        <v>Monday</v>
      </c>
    </row>
    <row r="136" spans="1:17" x14ac:dyDescent="0.35">
      <c r="A136" s="1">
        <v>2873212765</v>
      </c>
      <c r="B136" s="2">
        <v>42472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1440</v>
      </c>
      <c r="O136" s="1">
        <v>0</v>
      </c>
      <c r="P136" s="1" t="s">
        <v>17</v>
      </c>
      <c r="Q136" t="str">
        <f>TEXT(dailyActivity_merged[[#This Row],[ActivityDate]],"dddd")</f>
        <v>Tuesday</v>
      </c>
    </row>
    <row r="137" spans="1:17" x14ac:dyDescent="0.35">
      <c r="A137" s="1">
        <v>2891001357</v>
      </c>
      <c r="B137" s="2">
        <v>42458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1440</v>
      </c>
      <c r="O137" s="1">
        <v>1920</v>
      </c>
      <c r="P137" s="1" t="s">
        <v>17</v>
      </c>
      <c r="Q137" t="str">
        <f>TEXT(dailyActivity_merged[[#This Row],[ActivityDate]],"dddd")</f>
        <v>Tuesday</v>
      </c>
    </row>
    <row r="138" spans="1:17" x14ac:dyDescent="0.35">
      <c r="A138" s="1">
        <v>2891001357</v>
      </c>
      <c r="B138" s="2">
        <v>42459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1440</v>
      </c>
      <c r="O138" s="1">
        <v>1920</v>
      </c>
      <c r="P138" s="1" t="s">
        <v>17</v>
      </c>
      <c r="Q138" t="str">
        <f>TEXT(dailyActivity_merged[[#This Row],[ActivityDate]],"dddd")</f>
        <v>Wednesday</v>
      </c>
    </row>
    <row r="139" spans="1:17" x14ac:dyDescent="0.35">
      <c r="A139" s="1">
        <v>2891001357</v>
      </c>
      <c r="B139" s="2">
        <v>42460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1440</v>
      </c>
      <c r="O139" s="1">
        <v>1920</v>
      </c>
      <c r="P139" s="1" t="s">
        <v>17</v>
      </c>
      <c r="Q139" t="str">
        <f>TEXT(dailyActivity_merged[[#This Row],[ActivityDate]],"dddd")</f>
        <v>Thursday</v>
      </c>
    </row>
    <row r="140" spans="1:17" x14ac:dyDescent="0.35">
      <c r="A140" s="1">
        <v>2891001357</v>
      </c>
      <c r="B140" s="2">
        <v>42461</v>
      </c>
      <c r="C140" s="1">
        <v>0</v>
      </c>
      <c r="D140" s="1">
        <v>0</v>
      </c>
      <c r="E140" s="1">
        <v>0</v>
      </c>
      <c r="F140" s="1">
        <v>4.828032017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660</v>
      </c>
      <c r="M140" s="1">
        <v>0</v>
      </c>
      <c r="N140" s="1">
        <v>780</v>
      </c>
      <c r="O140" s="1">
        <v>4562</v>
      </c>
      <c r="P140" s="1" t="s">
        <v>17</v>
      </c>
      <c r="Q140" t="str">
        <f>TEXT(dailyActivity_merged[[#This Row],[ActivityDate]],"dddd")</f>
        <v>Friday</v>
      </c>
    </row>
    <row r="141" spans="1:17" x14ac:dyDescent="0.35">
      <c r="A141" s="1">
        <v>2891001357</v>
      </c>
      <c r="B141" s="2">
        <v>42462</v>
      </c>
      <c r="C141" s="1">
        <v>4126</v>
      </c>
      <c r="D141" s="1">
        <v>3.2200000289999999</v>
      </c>
      <c r="E141" s="1">
        <v>0</v>
      </c>
      <c r="F141" s="1">
        <v>3.2186880109999998</v>
      </c>
      <c r="G141" s="1">
        <v>0</v>
      </c>
      <c r="H141" s="1">
        <v>0</v>
      </c>
      <c r="I141" s="1">
        <v>3.2200000289999999</v>
      </c>
      <c r="J141" s="1">
        <v>0</v>
      </c>
      <c r="K141" s="1">
        <v>0</v>
      </c>
      <c r="L141" s="1">
        <v>0</v>
      </c>
      <c r="M141" s="1">
        <v>720</v>
      </c>
      <c r="N141" s="1">
        <v>720</v>
      </c>
      <c r="O141" s="1">
        <v>2881</v>
      </c>
      <c r="P141" s="1" t="s">
        <v>17</v>
      </c>
      <c r="Q141" t="str">
        <f>TEXT(dailyActivity_merged[[#This Row],[ActivityDate]],"dddd")</f>
        <v>Saturday</v>
      </c>
    </row>
    <row r="142" spans="1:17" x14ac:dyDescent="0.35">
      <c r="A142" s="1">
        <v>2891001357</v>
      </c>
      <c r="B142" s="2">
        <v>42463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1440</v>
      </c>
      <c r="O142" s="1">
        <v>1920</v>
      </c>
      <c r="P142" s="1" t="s">
        <v>17</v>
      </c>
      <c r="Q142" t="str">
        <f>TEXT(dailyActivity_merged[[#This Row],[ActivityDate]],"dddd")</f>
        <v>Sunday</v>
      </c>
    </row>
    <row r="143" spans="1:17" x14ac:dyDescent="0.35">
      <c r="A143" s="1">
        <v>2891001357</v>
      </c>
      <c r="B143" s="2">
        <v>42464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1440</v>
      </c>
      <c r="O143" s="1">
        <v>1920</v>
      </c>
      <c r="P143" s="1" t="s">
        <v>17</v>
      </c>
      <c r="Q143" t="str">
        <f>TEXT(dailyActivity_merged[[#This Row],[ActivityDate]],"dddd")</f>
        <v>Monday</v>
      </c>
    </row>
    <row r="144" spans="1:17" x14ac:dyDescent="0.35">
      <c r="A144" s="1">
        <v>2891001357</v>
      </c>
      <c r="B144" s="2">
        <v>42465</v>
      </c>
      <c r="C144" s="1">
        <v>2063</v>
      </c>
      <c r="D144" s="1">
        <v>1.6100000139999999</v>
      </c>
      <c r="E144" s="1">
        <v>0</v>
      </c>
      <c r="F144" s="1">
        <v>1.6093440059999999</v>
      </c>
      <c r="G144" s="1">
        <v>0</v>
      </c>
      <c r="H144" s="1">
        <v>0</v>
      </c>
      <c r="I144" s="1">
        <v>1.6100000139999999</v>
      </c>
      <c r="J144" s="1">
        <v>0</v>
      </c>
      <c r="K144" s="1">
        <v>0</v>
      </c>
      <c r="L144" s="1">
        <v>0</v>
      </c>
      <c r="M144" s="1">
        <v>630</v>
      </c>
      <c r="N144" s="1">
        <v>99</v>
      </c>
      <c r="O144" s="1">
        <v>1144</v>
      </c>
      <c r="P144" s="1" t="s">
        <v>17</v>
      </c>
      <c r="Q144" t="str">
        <f>TEXT(dailyActivity_merged[[#This Row],[ActivityDate]],"dddd")</f>
        <v>Tuesday</v>
      </c>
    </row>
    <row r="145" spans="1:17" x14ac:dyDescent="0.35">
      <c r="A145" s="1">
        <v>3372868164</v>
      </c>
      <c r="B145" s="2">
        <v>42461</v>
      </c>
      <c r="C145" s="1">
        <v>5785</v>
      </c>
      <c r="D145" s="1">
        <v>3.9500000480000002</v>
      </c>
      <c r="E145" s="1">
        <v>3.9500000480000002</v>
      </c>
      <c r="F145" s="1">
        <v>0</v>
      </c>
      <c r="G145" s="1">
        <v>0</v>
      </c>
      <c r="H145" s="1">
        <v>0</v>
      </c>
      <c r="I145" s="1">
        <v>3.9100000860000002</v>
      </c>
      <c r="J145" s="1">
        <v>3.9999999000000001E-2</v>
      </c>
      <c r="K145" s="1">
        <v>0</v>
      </c>
      <c r="L145" s="1">
        <v>0</v>
      </c>
      <c r="M145" s="1">
        <v>311</v>
      </c>
      <c r="N145" s="1">
        <v>1129</v>
      </c>
      <c r="O145" s="1">
        <v>1852</v>
      </c>
      <c r="P145" s="1" t="s">
        <v>19</v>
      </c>
      <c r="Q145" t="str">
        <f>TEXT(dailyActivity_merged[[#This Row],[ActivityDate]],"dddd")</f>
        <v>Friday</v>
      </c>
    </row>
    <row r="146" spans="1:17" x14ac:dyDescent="0.35">
      <c r="A146" s="1">
        <v>3372868164</v>
      </c>
      <c r="B146" s="2">
        <v>42462</v>
      </c>
      <c r="C146" s="1">
        <v>7625</v>
      </c>
      <c r="D146" s="1">
        <v>5.2300000190000002</v>
      </c>
      <c r="E146" s="1">
        <v>5.2300000190000002</v>
      </c>
      <c r="F146" s="1">
        <v>0</v>
      </c>
      <c r="G146" s="1">
        <v>1.6799999480000001</v>
      </c>
      <c r="H146" s="1">
        <v>3.9999999000000001E-2</v>
      </c>
      <c r="I146" s="1">
        <v>3.5</v>
      </c>
      <c r="J146" s="1">
        <v>0.01</v>
      </c>
      <c r="K146" s="1">
        <v>24</v>
      </c>
      <c r="L146" s="1">
        <v>1</v>
      </c>
      <c r="M146" s="1">
        <v>341</v>
      </c>
      <c r="N146" s="1">
        <v>1074</v>
      </c>
      <c r="O146" s="1">
        <v>2069</v>
      </c>
      <c r="P146" s="1" t="s">
        <v>18</v>
      </c>
      <c r="Q146" t="str">
        <f>TEXT(dailyActivity_merged[[#This Row],[ActivityDate]],"dddd")</f>
        <v>Saturday</v>
      </c>
    </row>
    <row r="147" spans="1:17" x14ac:dyDescent="0.35">
      <c r="A147" s="1">
        <v>3372868164</v>
      </c>
      <c r="B147" s="2">
        <v>42463</v>
      </c>
      <c r="C147" s="1">
        <v>4706</v>
      </c>
      <c r="D147" s="1">
        <v>3.210000038</v>
      </c>
      <c r="E147" s="1">
        <v>3.210000038</v>
      </c>
      <c r="F147" s="1">
        <v>0</v>
      </c>
      <c r="G147" s="1">
        <v>0</v>
      </c>
      <c r="H147" s="1">
        <v>0</v>
      </c>
      <c r="I147" s="1">
        <v>3.210000038</v>
      </c>
      <c r="J147" s="1">
        <v>0</v>
      </c>
      <c r="K147" s="1">
        <v>0</v>
      </c>
      <c r="L147" s="1">
        <v>0</v>
      </c>
      <c r="M147" s="1">
        <v>299</v>
      </c>
      <c r="N147" s="1">
        <v>1141</v>
      </c>
      <c r="O147" s="1">
        <v>1816</v>
      </c>
      <c r="P147" s="1" t="s">
        <v>17</v>
      </c>
      <c r="Q147" t="str">
        <f>TEXT(dailyActivity_merged[[#This Row],[ActivityDate]],"dddd")</f>
        <v>Sunday</v>
      </c>
    </row>
    <row r="148" spans="1:17" x14ac:dyDescent="0.35">
      <c r="A148" s="1">
        <v>3372868164</v>
      </c>
      <c r="B148" s="2">
        <v>42464</v>
      </c>
      <c r="C148" s="1">
        <v>5861</v>
      </c>
      <c r="D148" s="1">
        <v>4.0199999809999998</v>
      </c>
      <c r="E148" s="1">
        <v>4.0199999809999998</v>
      </c>
      <c r="F148" s="1">
        <v>0</v>
      </c>
      <c r="G148" s="1">
        <v>1.2999999520000001</v>
      </c>
      <c r="H148" s="1">
        <v>0.219999999</v>
      </c>
      <c r="I148" s="1">
        <v>2.4900000100000002</v>
      </c>
      <c r="J148" s="1">
        <v>0.01</v>
      </c>
      <c r="K148" s="1">
        <v>20</v>
      </c>
      <c r="L148" s="1">
        <v>7</v>
      </c>
      <c r="M148" s="1">
        <v>233</v>
      </c>
      <c r="N148" s="1">
        <v>1180</v>
      </c>
      <c r="O148" s="1">
        <v>1878</v>
      </c>
      <c r="P148" s="1" t="s">
        <v>19</v>
      </c>
      <c r="Q148" t="str">
        <f>TEXT(dailyActivity_merged[[#This Row],[ActivityDate]],"dddd")</f>
        <v>Monday</v>
      </c>
    </row>
    <row r="149" spans="1:17" x14ac:dyDescent="0.35">
      <c r="A149" s="1">
        <v>3372868164</v>
      </c>
      <c r="B149" s="2">
        <v>42465</v>
      </c>
      <c r="C149" s="1">
        <v>4460</v>
      </c>
      <c r="D149" s="1">
        <v>3.039999962</v>
      </c>
      <c r="E149" s="1">
        <v>3.039999962</v>
      </c>
      <c r="F149" s="1">
        <v>0</v>
      </c>
      <c r="G149" s="1">
        <v>0</v>
      </c>
      <c r="H149" s="1">
        <v>0</v>
      </c>
      <c r="I149" s="1">
        <v>3.0199999809999998</v>
      </c>
      <c r="J149" s="1">
        <v>2.9999998999999999E-2</v>
      </c>
      <c r="K149" s="1">
        <v>0</v>
      </c>
      <c r="L149" s="1">
        <v>0</v>
      </c>
      <c r="M149" s="1">
        <v>248</v>
      </c>
      <c r="N149" s="1">
        <v>1192</v>
      </c>
      <c r="O149" s="1">
        <v>1787</v>
      </c>
      <c r="P149" s="1" t="s">
        <v>17</v>
      </c>
      <c r="Q149" t="str">
        <f>TEXT(dailyActivity_merged[[#This Row],[ActivityDate]],"dddd")</f>
        <v>Tuesday</v>
      </c>
    </row>
    <row r="150" spans="1:17" x14ac:dyDescent="0.35">
      <c r="A150" s="1">
        <v>3372868164</v>
      </c>
      <c r="B150" s="2">
        <v>42466</v>
      </c>
      <c r="C150" s="1">
        <v>6406</v>
      </c>
      <c r="D150" s="1">
        <v>4.3899998660000001</v>
      </c>
      <c r="E150" s="1">
        <v>4.3899998660000001</v>
      </c>
      <c r="F150" s="1">
        <v>0</v>
      </c>
      <c r="G150" s="1">
        <v>0.77999997099999996</v>
      </c>
      <c r="H150" s="1">
        <v>9.0000003999999995E-2</v>
      </c>
      <c r="I150" s="1">
        <v>3.5199999809999998</v>
      </c>
      <c r="J150" s="1">
        <v>0.01</v>
      </c>
      <c r="K150" s="1">
        <v>17</v>
      </c>
      <c r="L150" s="1">
        <v>4</v>
      </c>
      <c r="M150" s="1">
        <v>325</v>
      </c>
      <c r="N150" s="1">
        <v>1094</v>
      </c>
      <c r="O150" s="1">
        <v>2010</v>
      </c>
      <c r="P150" s="1" t="s">
        <v>19</v>
      </c>
      <c r="Q150" t="str">
        <f>TEXT(dailyActivity_merged[[#This Row],[ActivityDate]],"dddd")</f>
        <v>Wednesday</v>
      </c>
    </row>
    <row r="151" spans="1:17" x14ac:dyDescent="0.35">
      <c r="A151" s="1">
        <v>3372868164</v>
      </c>
      <c r="B151" s="2">
        <v>42467</v>
      </c>
      <c r="C151" s="1">
        <v>7392</v>
      </c>
      <c r="D151" s="1">
        <v>5.0999999049999998</v>
      </c>
      <c r="E151" s="1">
        <v>5.0999999049999998</v>
      </c>
      <c r="F151" s="1">
        <v>0</v>
      </c>
      <c r="G151" s="1">
        <v>0.87000000499999997</v>
      </c>
      <c r="H151" s="1">
        <v>0.15999999600000001</v>
      </c>
      <c r="I151" s="1">
        <v>4.0500001909999996</v>
      </c>
      <c r="J151" s="1">
        <v>0.02</v>
      </c>
      <c r="K151" s="1">
        <v>14</v>
      </c>
      <c r="L151" s="1">
        <v>9</v>
      </c>
      <c r="M151" s="1">
        <v>332</v>
      </c>
      <c r="N151" s="1">
        <v>1085</v>
      </c>
      <c r="O151" s="1">
        <v>2038</v>
      </c>
      <c r="P151" s="1" t="s">
        <v>19</v>
      </c>
      <c r="Q151" t="str">
        <f>TEXT(dailyActivity_merged[[#This Row],[ActivityDate]],"dddd")</f>
        <v>Thursday</v>
      </c>
    </row>
    <row r="152" spans="1:17" x14ac:dyDescent="0.35">
      <c r="A152" s="1">
        <v>3372868164</v>
      </c>
      <c r="B152" s="2">
        <v>42468</v>
      </c>
      <c r="C152" s="1">
        <v>5551</v>
      </c>
      <c r="D152" s="1">
        <v>3.789999962</v>
      </c>
      <c r="E152" s="1">
        <v>3.789999962</v>
      </c>
      <c r="F152" s="1">
        <v>0</v>
      </c>
      <c r="G152" s="1">
        <v>0</v>
      </c>
      <c r="H152" s="1">
        <v>0</v>
      </c>
      <c r="I152" s="1">
        <v>3.7699999809999998</v>
      </c>
      <c r="J152" s="1">
        <v>0.01</v>
      </c>
      <c r="K152" s="1">
        <v>0</v>
      </c>
      <c r="L152" s="1">
        <v>0</v>
      </c>
      <c r="M152" s="1">
        <v>282</v>
      </c>
      <c r="N152" s="1">
        <v>1158</v>
      </c>
      <c r="O152" s="1">
        <v>1815</v>
      </c>
      <c r="P152" s="1" t="s">
        <v>19</v>
      </c>
      <c r="Q152" t="str">
        <f>TEXT(dailyActivity_merged[[#This Row],[ActivityDate]],"dddd")</f>
        <v>Friday</v>
      </c>
    </row>
    <row r="153" spans="1:17" x14ac:dyDescent="0.35">
      <c r="A153" s="1">
        <v>3372868164</v>
      </c>
      <c r="B153" s="2">
        <v>42469</v>
      </c>
      <c r="C153" s="1">
        <v>8827</v>
      </c>
      <c r="D153" s="1">
        <v>6.25</v>
      </c>
      <c r="E153" s="1">
        <v>6.25</v>
      </c>
      <c r="F153" s="1">
        <v>0</v>
      </c>
      <c r="G153" s="1">
        <v>1.769999981</v>
      </c>
      <c r="H153" s="1">
        <v>0.47999998900000002</v>
      </c>
      <c r="I153" s="1">
        <v>4</v>
      </c>
      <c r="J153" s="1">
        <v>0.01</v>
      </c>
      <c r="K153" s="1">
        <v>21</v>
      </c>
      <c r="L153" s="1">
        <v>10</v>
      </c>
      <c r="M153" s="1">
        <v>346</v>
      </c>
      <c r="N153" s="1">
        <v>1063</v>
      </c>
      <c r="O153" s="1">
        <v>2062</v>
      </c>
      <c r="P153" s="1" t="s">
        <v>18</v>
      </c>
      <c r="Q153" t="str">
        <f>TEXT(dailyActivity_merged[[#This Row],[ActivityDate]],"dddd")</f>
        <v>Saturday</v>
      </c>
    </row>
    <row r="154" spans="1:17" x14ac:dyDescent="0.35">
      <c r="A154" s="1">
        <v>3372868164</v>
      </c>
      <c r="B154" s="2">
        <v>42470</v>
      </c>
      <c r="C154" s="1">
        <v>4662</v>
      </c>
      <c r="D154" s="1">
        <v>3.1800000669999999</v>
      </c>
      <c r="E154" s="1">
        <v>3.1800000669999999</v>
      </c>
      <c r="F154" s="1">
        <v>0</v>
      </c>
      <c r="G154" s="1">
        <v>1.039999962</v>
      </c>
      <c r="H154" s="1">
        <v>0.15000000599999999</v>
      </c>
      <c r="I154" s="1">
        <v>1.9900000099999999</v>
      </c>
      <c r="J154" s="1">
        <v>0</v>
      </c>
      <c r="K154" s="1">
        <v>22</v>
      </c>
      <c r="L154" s="1">
        <v>4</v>
      </c>
      <c r="M154" s="1">
        <v>152</v>
      </c>
      <c r="N154" s="1">
        <v>735</v>
      </c>
      <c r="O154" s="1">
        <v>1276</v>
      </c>
      <c r="P154" s="1" t="s">
        <v>17</v>
      </c>
      <c r="Q154" t="str">
        <f>TEXT(dailyActivity_merged[[#This Row],[ActivityDate]],"dddd")</f>
        <v>Sunday</v>
      </c>
    </row>
    <row r="155" spans="1:17" x14ac:dyDescent="0.35">
      <c r="A155" s="1">
        <v>3977333714</v>
      </c>
      <c r="B155" s="2">
        <v>42461</v>
      </c>
      <c r="C155" s="1">
        <v>4499</v>
      </c>
      <c r="D155" s="1">
        <v>3.0099999899999998</v>
      </c>
      <c r="E155" s="1">
        <v>3.0099999899999998</v>
      </c>
      <c r="F155" s="1">
        <v>0</v>
      </c>
      <c r="G155" s="1">
        <v>0</v>
      </c>
      <c r="H155" s="1">
        <v>0</v>
      </c>
      <c r="I155" s="1">
        <v>3.0099999899999998</v>
      </c>
      <c r="J155" s="1">
        <v>0</v>
      </c>
      <c r="K155" s="1">
        <v>0</v>
      </c>
      <c r="L155" s="1">
        <v>0</v>
      </c>
      <c r="M155" s="1">
        <v>168</v>
      </c>
      <c r="N155" s="1">
        <v>842</v>
      </c>
      <c r="O155" s="1">
        <v>1288</v>
      </c>
      <c r="P155" s="1" t="s">
        <v>17</v>
      </c>
      <c r="Q155" t="str">
        <f>TEXT(dailyActivity_merged[[#This Row],[ActivityDate]],"dddd")</f>
        <v>Friday</v>
      </c>
    </row>
    <row r="156" spans="1:17" x14ac:dyDescent="0.35">
      <c r="A156" s="1">
        <v>3977333714</v>
      </c>
      <c r="B156" s="2">
        <v>42462</v>
      </c>
      <c r="C156" s="1">
        <v>7618</v>
      </c>
      <c r="D156" s="1">
        <v>5.0999999049999998</v>
      </c>
      <c r="E156" s="1">
        <v>5.0999999049999998</v>
      </c>
      <c r="F156" s="1">
        <v>0</v>
      </c>
      <c r="G156" s="1">
        <v>0</v>
      </c>
      <c r="H156" s="1">
        <v>0.18000000699999999</v>
      </c>
      <c r="I156" s="1">
        <v>4.9099998469999999</v>
      </c>
      <c r="J156" s="1">
        <v>0</v>
      </c>
      <c r="K156" s="1">
        <v>0</v>
      </c>
      <c r="L156" s="1">
        <v>6</v>
      </c>
      <c r="M156" s="1">
        <v>302</v>
      </c>
      <c r="N156" s="1">
        <v>842</v>
      </c>
      <c r="O156" s="1">
        <v>1490</v>
      </c>
      <c r="P156" s="1" t="s">
        <v>18</v>
      </c>
      <c r="Q156" t="str">
        <f>TEXT(dailyActivity_merged[[#This Row],[ActivityDate]],"dddd")</f>
        <v>Saturday</v>
      </c>
    </row>
    <row r="157" spans="1:17" x14ac:dyDescent="0.35">
      <c r="A157" s="1">
        <v>3977333714</v>
      </c>
      <c r="B157" s="2">
        <v>42463</v>
      </c>
      <c r="C157" s="1">
        <v>11508</v>
      </c>
      <c r="D157" s="1">
        <v>7.6999998090000004</v>
      </c>
      <c r="E157" s="1">
        <v>7.6999998090000004</v>
      </c>
      <c r="F157" s="1">
        <v>0</v>
      </c>
      <c r="G157" s="1">
        <v>2.170000076</v>
      </c>
      <c r="H157" s="1">
        <v>0.83999997400000004</v>
      </c>
      <c r="I157" s="1">
        <v>4.6900000569999998</v>
      </c>
      <c r="J157" s="1">
        <v>0</v>
      </c>
      <c r="K157" s="1">
        <v>29</v>
      </c>
      <c r="L157" s="1">
        <v>22</v>
      </c>
      <c r="M157" s="1">
        <v>282</v>
      </c>
      <c r="N157" s="1">
        <v>748</v>
      </c>
      <c r="O157" s="1">
        <v>1630</v>
      </c>
      <c r="P157" s="1" t="s">
        <v>16</v>
      </c>
      <c r="Q157" t="str">
        <f>TEXT(dailyActivity_merged[[#This Row],[ActivityDate]],"dddd")</f>
        <v>Sunday</v>
      </c>
    </row>
    <row r="158" spans="1:17" x14ac:dyDescent="0.35">
      <c r="A158" s="1">
        <v>3977333714</v>
      </c>
      <c r="B158" s="2">
        <v>42464</v>
      </c>
      <c r="C158" s="1">
        <v>11943</v>
      </c>
      <c r="D158" s="1">
        <v>7.9899997709999999</v>
      </c>
      <c r="E158" s="1">
        <v>7.9899997709999999</v>
      </c>
      <c r="F158" s="1">
        <v>0</v>
      </c>
      <c r="G158" s="1">
        <v>1.0299999710000001</v>
      </c>
      <c r="H158" s="1">
        <v>2.0099999899999998</v>
      </c>
      <c r="I158" s="1">
        <v>4.9499998090000004</v>
      </c>
      <c r="J158" s="1">
        <v>0</v>
      </c>
      <c r="K158" s="1">
        <v>16</v>
      </c>
      <c r="L158" s="1">
        <v>43</v>
      </c>
      <c r="M158" s="1">
        <v>297</v>
      </c>
      <c r="N158" s="1">
        <v>710</v>
      </c>
      <c r="O158" s="1">
        <v>1648</v>
      </c>
      <c r="P158" s="1" t="s">
        <v>16</v>
      </c>
      <c r="Q158" t="str">
        <f>TEXT(dailyActivity_merged[[#This Row],[ActivityDate]],"dddd")</f>
        <v>Monday</v>
      </c>
    </row>
    <row r="159" spans="1:17" x14ac:dyDescent="0.35">
      <c r="A159" s="1">
        <v>3977333714</v>
      </c>
      <c r="B159" s="2">
        <v>42465</v>
      </c>
      <c r="C159" s="1">
        <v>12303</v>
      </c>
      <c r="D159" s="1">
        <v>8.2299995419999998</v>
      </c>
      <c r="E159" s="1">
        <v>8.2299995419999998</v>
      </c>
      <c r="F159" s="1">
        <v>0</v>
      </c>
      <c r="G159" s="1">
        <v>1.710000038</v>
      </c>
      <c r="H159" s="1">
        <v>1.3500000240000001</v>
      </c>
      <c r="I159" s="1">
        <v>5.170000076</v>
      </c>
      <c r="J159" s="1">
        <v>0</v>
      </c>
      <c r="K159" s="1">
        <v>26</v>
      </c>
      <c r="L159" s="1">
        <v>32</v>
      </c>
      <c r="M159" s="1">
        <v>291</v>
      </c>
      <c r="N159" s="1">
        <v>605</v>
      </c>
      <c r="O159" s="1">
        <v>1649</v>
      </c>
      <c r="P159" s="1" t="s">
        <v>16</v>
      </c>
      <c r="Q159" t="str">
        <f>TEXT(dailyActivity_merged[[#This Row],[ActivityDate]],"dddd")</f>
        <v>Tuesday</v>
      </c>
    </row>
    <row r="160" spans="1:17" x14ac:dyDescent="0.35">
      <c r="A160" s="1">
        <v>3977333714</v>
      </c>
      <c r="B160" s="2">
        <v>42466</v>
      </c>
      <c r="C160" s="1">
        <v>15425</v>
      </c>
      <c r="D160" s="1">
        <v>10.31999969</v>
      </c>
      <c r="E160" s="1">
        <v>10.31999969</v>
      </c>
      <c r="F160" s="1">
        <v>0</v>
      </c>
      <c r="G160" s="1">
        <v>1.6200000050000001</v>
      </c>
      <c r="H160" s="1">
        <v>1.8200000519999999</v>
      </c>
      <c r="I160" s="1">
        <v>6.8699998860000004</v>
      </c>
      <c r="J160" s="1">
        <v>0</v>
      </c>
      <c r="K160" s="1">
        <v>24</v>
      </c>
      <c r="L160" s="1">
        <v>45</v>
      </c>
      <c r="M160" s="1">
        <v>331</v>
      </c>
      <c r="N160" s="1">
        <v>614</v>
      </c>
      <c r="O160" s="1">
        <v>1783</v>
      </c>
      <c r="P160" s="1" t="s">
        <v>16</v>
      </c>
      <c r="Q160" t="str">
        <f>TEXT(dailyActivity_merged[[#This Row],[ActivityDate]],"dddd")</f>
        <v>Wednesday</v>
      </c>
    </row>
    <row r="161" spans="1:17" x14ac:dyDescent="0.35">
      <c r="A161" s="1">
        <v>3977333714</v>
      </c>
      <c r="B161" s="2">
        <v>42467</v>
      </c>
      <c r="C161" s="1">
        <v>8422</v>
      </c>
      <c r="D161" s="1">
        <v>5.6300001139999996</v>
      </c>
      <c r="E161" s="1">
        <v>5.6300001139999996</v>
      </c>
      <c r="F161" s="1">
        <v>0</v>
      </c>
      <c r="G161" s="1">
        <v>0</v>
      </c>
      <c r="H161" s="1">
        <v>3.5999999049999998</v>
      </c>
      <c r="I161" s="1">
        <v>2.039999962</v>
      </c>
      <c r="J161" s="1">
        <v>0</v>
      </c>
      <c r="K161" s="1">
        <v>0</v>
      </c>
      <c r="L161" s="1">
        <v>81</v>
      </c>
      <c r="M161" s="1">
        <v>139</v>
      </c>
      <c r="N161" s="1">
        <v>815</v>
      </c>
      <c r="O161" s="1">
        <v>1431</v>
      </c>
      <c r="P161" s="1" t="s">
        <v>18</v>
      </c>
      <c r="Q161" t="str">
        <f>TEXT(dailyActivity_merged[[#This Row],[ActivityDate]],"dddd")</f>
        <v>Thursday</v>
      </c>
    </row>
    <row r="162" spans="1:17" x14ac:dyDescent="0.35">
      <c r="A162" s="1">
        <v>3977333714</v>
      </c>
      <c r="B162" s="2">
        <v>42468</v>
      </c>
      <c r="C162" s="1">
        <v>10226</v>
      </c>
      <c r="D162" s="1">
        <v>6.8400001530000001</v>
      </c>
      <c r="E162" s="1">
        <v>6.8400001530000001</v>
      </c>
      <c r="F162" s="1">
        <v>0</v>
      </c>
      <c r="G162" s="1">
        <v>0</v>
      </c>
      <c r="H162" s="1">
        <v>4.4400000569999998</v>
      </c>
      <c r="I162" s="1">
        <v>2.4000000950000002</v>
      </c>
      <c r="J162" s="1">
        <v>0</v>
      </c>
      <c r="K162" s="1">
        <v>0</v>
      </c>
      <c r="L162" s="1">
        <v>101</v>
      </c>
      <c r="M162" s="1">
        <v>174</v>
      </c>
      <c r="N162" s="1">
        <v>685</v>
      </c>
      <c r="O162" s="1">
        <v>1524</v>
      </c>
      <c r="P162" s="1" t="s">
        <v>16</v>
      </c>
      <c r="Q162" t="str">
        <f>TEXT(dailyActivity_merged[[#This Row],[ActivityDate]],"dddd")</f>
        <v>Friday</v>
      </c>
    </row>
    <row r="163" spans="1:17" x14ac:dyDescent="0.35">
      <c r="A163" s="1">
        <v>3977333714</v>
      </c>
      <c r="B163" s="2">
        <v>42469</v>
      </c>
      <c r="C163" s="1">
        <v>14583</v>
      </c>
      <c r="D163" s="1">
        <v>9.7600002289999992</v>
      </c>
      <c r="E163" s="1">
        <v>9.7600002289999992</v>
      </c>
      <c r="F163" s="1">
        <v>0</v>
      </c>
      <c r="G163" s="1">
        <v>2.4800000190000002</v>
      </c>
      <c r="H163" s="1">
        <v>1.7400000099999999</v>
      </c>
      <c r="I163" s="1">
        <v>5.5300002099999999</v>
      </c>
      <c r="J163" s="1">
        <v>0</v>
      </c>
      <c r="K163" s="1">
        <v>35</v>
      </c>
      <c r="L163" s="1">
        <v>36</v>
      </c>
      <c r="M163" s="1">
        <v>254</v>
      </c>
      <c r="N163" s="1">
        <v>697</v>
      </c>
      <c r="O163" s="1">
        <v>1697</v>
      </c>
      <c r="P163" s="1" t="s">
        <v>16</v>
      </c>
      <c r="Q163" t="str">
        <f>TEXT(dailyActivity_merged[[#This Row],[ActivityDate]],"dddd")</f>
        <v>Saturday</v>
      </c>
    </row>
    <row r="164" spans="1:17" x14ac:dyDescent="0.35">
      <c r="A164" s="1">
        <v>3977333714</v>
      </c>
      <c r="B164" s="2">
        <v>42470</v>
      </c>
      <c r="C164" s="1">
        <v>3573</v>
      </c>
      <c r="D164" s="1">
        <v>2.3900001049999999</v>
      </c>
      <c r="E164" s="1">
        <v>2.3900001049999999</v>
      </c>
      <c r="F164" s="1">
        <v>0</v>
      </c>
      <c r="G164" s="1">
        <v>0.939999998</v>
      </c>
      <c r="H164" s="1">
        <v>0.40999999599999998</v>
      </c>
      <c r="I164" s="1">
        <v>0.97000002900000004</v>
      </c>
      <c r="J164" s="1">
        <v>0</v>
      </c>
      <c r="K164" s="1">
        <v>15</v>
      </c>
      <c r="L164" s="1">
        <v>8</v>
      </c>
      <c r="M164" s="1">
        <v>99</v>
      </c>
      <c r="N164" s="1">
        <v>866</v>
      </c>
      <c r="O164" s="1">
        <v>1232</v>
      </c>
      <c r="P164" s="1" t="s">
        <v>17</v>
      </c>
      <c r="Q164" t="str">
        <f>TEXT(dailyActivity_merged[[#This Row],[ActivityDate]],"dddd")</f>
        <v>Sunday</v>
      </c>
    </row>
    <row r="165" spans="1:17" x14ac:dyDescent="0.35">
      <c r="A165" s="1">
        <v>3977333714</v>
      </c>
      <c r="B165" s="2">
        <v>42471</v>
      </c>
      <c r="C165" s="1">
        <v>3108</v>
      </c>
      <c r="D165" s="1">
        <v>2.1400001049999999</v>
      </c>
      <c r="E165" s="1">
        <v>2.1400001049999999</v>
      </c>
      <c r="F165" s="1">
        <v>0</v>
      </c>
      <c r="G165" s="1">
        <v>7.0000000000000007E-2</v>
      </c>
      <c r="H165" s="1">
        <v>3.9999999000000001E-2</v>
      </c>
      <c r="I165" s="1">
        <v>1.960000038</v>
      </c>
      <c r="J165" s="1">
        <v>0</v>
      </c>
      <c r="K165" s="1">
        <v>1</v>
      </c>
      <c r="L165" s="1">
        <v>1</v>
      </c>
      <c r="M165" s="1">
        <v>129</v>
      </c>
      <c r="N165" s="1">
        <v>894</v>
      </c>
      <c r="O165" s="1">
        <v>1223</v>
      </c>
      <c r="P165" s="1" t="s">
        <v>17</v>
      </c>
      <c r="Q165" t="str">
        <f>TEXT(dailyActivity_merged[[#This Row],[ActivityDate]],"dddd")</f>
        <v>Monday</v>
      </c>
    </row>
    <row r="166" spans="1:17" x14ac:dyDescent="0.35">
      <c r="A166" s="1">
        <v>3977333714</v>
      </c>
      <c r="B166" s="2">
        <v>42472</v>
      </c>
      <c r="C166" s="1">
        <v>759</v>
      </c>
      <c r="D166" s="1">
        <v>0.56999999300000004</v>
      </c>
      <c r="E166" s="1">
        <v>0.56999999300000004</v>
      </c>
      <c r="F166" s="1">
        <v>0</v>
      </c>
      <c r="G166" s="1">
        <v>0</v>
      </c>
      <c r="H166" s="1">
        <v>0</v>
      </c>
      <c r="I166" s="1">
        <v>0.56999999300000004</v>
      </c>
      <c r="J166" s="1">
        <v>0</v>
      </c>
      <c r="K166" s="1">
        <v>0</v>
      </c>
      <c r="L166" s="1">
        <v>0</v>
      </c>
      <c r="M166" s="1">
        <v>17</v>
      </c>
      <c r="N166" s="1">
        <v>187</v>
      </c>
      <c r="O166" s="1">
        <v>182</v>
      </c>
      <c r="P166" s="1" t="s">
        <v>17</v>
      </c>
      <c r="Q166" t="str">
        <f>TEXT(dailyActivity_merged[[#This Row],[ActivityDate]],"dddd")</f>
        <v>Tuesday</v>
      </c>
    </row>
    <row r="167" spans="1:17" x14ac:dyDescent="0.35">
      <c r="A167" s="1">
        <v>4020332650</v>
      </c>
      <c r="B167" s="2">
        <v>42441</v>
      </c>
      <c r="C167" s="1">
        <v>5543</v>
      </c>
      <c r="D167" s="1">
        <v>3.9700000289999999</v>
      </c>
      <c r="E167" s="1">
        <v>3.9700000289999999</v>
      </c>
      <c r="F167" s="1">
        <v>0</v>
      </c>
      <c r="G167" s="1">
        <v>0</v>
      </c>
      <c r="H167" s="1">
        <v>0</v>
      </c>
      <c r="I167" s="1">
        <v>3.960000038</v>
      </c>
      <c r="J167" s="1">
        <v>0.01</v>
      </c>
      <c r="K167" s="1">
        <v>0</v>
      </c>
      <c r="L167" s="1">
        <v>0</v>
      </c>
      <c r="M167" s="1">
        <v>254</v>
      </c>
      <c r="N167" s="1">
        <v>757</v>
      </c>
      <c r="O167" s="1">
        <v>2990</v>
      </c>
      <c r="P167" s="1" t="s">
        <v>19</v>
      </c>
      <c r="Q167" t="str">
        <f>TEXT(dailyActivity_merged[[#This Row],[ActivityDate]],"dddd")</f>
        <v>Saturday</v>
      </c>
    </row>
    <row r="168" spans="1:17" x14ac:dyDescent="0.35">
      <c r="A168" s="1">
        <v>4020332650</v>
      </c>
      <c r="B168" s="2">
        <v>42442</v>
      </c>
      <c r="C168" s="1">
        <v>3226</v>
      </c>
      <c r="D168" s="1">
        <v>2.3099999430000002</v>
      </c>
      <c r="E168" s="1">
        <v>2.3099999430000002</v>
      </c>
      <c r="F168" s="1">
        <v>0</v>
      </c>
      <c r="G168" s="1">
        <v>0</v>
      </c>
      <c r="H168" s="1">
        <v>0</v>
      </c>
      <c r="I168" s="1">
        <v>2.2799999710000001</v>
      </c>
      <c r="J168" s="1">
        <v>0</v>
      </c>
      <c r="K168" s="1">
        <v>0</v>
      </c>
      <c r="L168" s="1">
        <v>0</v>
      </c>
      <c r="M168" s="1">
        <v>136</v>
      </c>
      <c r="N168" s="1">
        <v>771</v>
      </c>
      <c r="O168" s="1">
        <v>2480</v>
      </c>
      <c r="P168" s="1" t="s">
        <v>17</v>
      </c>
      <c r="Q168" t="str">
        <f>TEXT(dailyActivity_merged[[#This Row],[ActivityDate]],"dddd")</f>
        <v>Sunday</v>
      </c>
    </row>
    <row r="169" spans="1:17" x14ac:dyDescent="0.35">
      <c r="A169" s="1">
        <v>4020332650</v>
      </c>
      <c r="B169" s="2">
        <v>42443</v>
      </c>
      <c r="C169" s="1">
        <v>3023</v>
      </c>
      <c r="D169" s="1">
        <v>2.170000076</v>
      </c>
      <c r="E169" s="1">
        <v>2.170000076</v>
      </c>
      <c r="F169" s="1">
        <v>0</v>
      </c>
      <c r="G169" s="1">
        <v>0</v>
      </c>
      <c r="H169" s="1">
        <v>0</v>
      </c>
      <c r="I169" s="1">
        <v>2.1400001049999999</v>
      </c>
      <c r="J169" s="1">
        <v>0</v>
      </c>
      <c r="K169" s="1">
        <v>0</v>
      </c>
      <c r="L169" s="1">
        <v>0</v>
      </c>
      <c r="M169" s="1">
        <v>145</v>
      </c>
      <c r="N169" s="1">
        <v>1005</v>
      </c>
      <c r="O169" s="1">
        <v>2570</v>
      </c>
      <c r="P169" s="1" t="s">
        <v>17</v>
      </c>
      <c r="Q169" t="str">
        <f>TEXT(dailyActivity_merged[[#This Row],[ActivityDate]],"dddd")</f>
        <v>Monday</v>
      </c>
    </row>
    <row r="170" spans="1:17" x14ac:dyDescent="0.35">
      <c r="A170" s="1">
        <v>4020332650</v>
      </c>
      <c r="B170" s="2">
        <v>42444</v>
      </c>
      <c r="C170" s="1">
        <v>5906</v>
      </c>
      <c r="D170" s="1">
        <v>4.2300000190000002</v>
      </c>
      <c r="E170" s="1">
        <v>4.2300000190000002</v>
      </c>
      <c r="F170" s="1">
        <v>0</v>
      </c>
      <c r="G170" s="1">
        <v>0</v>
      </c>
      <c r="H170" s="1">
        <v>0.15999999600000001</v>
      </c>
      <c r="I170" s="1">
        <v>4.0399999619999996</v>
      </c>
      <c r="J170" s="1">
        <v>0</v>
      </c>
      <c r="K170" s="1">
        <v>0</v>
      </c>
      <c r="L170" s="1">
        <v>10</v>
      </c>
      <c r="M170" s="1">
        <v>215</v>
      </c>
      <c r="N170" s="1">
        <v>874</v>
      </c>
      <c r="O170" s="1">
        <v>3016</v>
      </c>
      <c r="P170" s="1" t="s">
        <v>19</v>
      </c>
      <c r="Q170" t="str">
        <f>TEXT(dailyActivity_merged[[#This Row],[ActivityDate]],"dddd")</f>
        <v>Tuesday</v>
      </c>
    </row>
    <row r="171" spans="1:17" x14ac:dyDescent="0.35">
      <c r="A171" s="1">
        <v>4020332650</v>
      </c>
      <c r="B171" s="2">
        <v>42445</v>
      </c>
      <c r="C171" s="1">
        <v>12483</v>
      </c>
      <c r="D171" s="1">
        <v>8.9899997710000008</v>
      </c>
      <c r="E171" s="1">
        <v>8.9899997710000008</v>
      </c>
      <c r="F171" s="1">
        <v>0</v>
      </c>
      <c r="G171" s="1">
        <v>1.4500000479999999</v>
      </c>
      <c r="H171" s="1">
        <v>0.56999999300000004</v>
      </c>
      <c r="I171" s="1">
        <v>6.9000000950000002</v>
      </c>
      <c r="J171" s="1">
        <v>0</v>
      </c>
      <c r="K171" s="1">
        <v>25</v>
      </c>
      <c r="L171" s="1">
        <v>14</v>
      </c>
      <c r="M171" s="1">
        <v>309</v>
      </c>
      <c r="N171" s="1">
        <v>599</v>
      </c>
      <c r="O171" s="1">
        <v>3830</v>
      </c>
      <c r="P171" s="1" t="s">
        <v>16</v>
      </c>
      <c r="Q171" t="str">
        <f>TEXT(dailyActivity_merged[[#This Row],[ActivityDate]],"dddd")</f>
        <v>Wednesday</v>
      </c>
    </row>
    <row r="172" spans="1:17" x14ac:dyDescent="0.35">
      <c r="A172" s="1">
        <v>4020332650</v>
      </c>
      <c r="B172" s="2">
        <v>42446</v>
      </c>
      <c r="C172" s="1">
        <v>8940</v>
      </c>
      <c r="D172" s="1">
        <v>6.4099998469999999</v>
      </c>
      <c r="E172" s="1">
        <v>6.4099998469999999</v>
      </c>
      <c r="F172" s="1">
        <v>0</v>
      </c>
      <c r="G172" s="1">
        <v>0</v>
      </c>
      <c r="H172" s="1">
        <v>0</v>
      </c>
      <c r="I172" s="1">
        <v>0.61000001400000003</v>
      </c>
      <c r="J172" s="1">
        <v>3.9999999000000001E-2</v>
      </c>
      <c r="K172" s="1">
        <v>0</v>
      </c>
      <c r="L172" s="1">
        <v>0</v>
      </c>
      <c r="M172" s="1">
        <v>47</v>
      </c>
      <c r="N172" s="1">
        <v>986</v>
      </c>
      <c r="O172" s="1">
        <v>3706</v>
      </c>
      <c r="P172" s="1" t="s">
        <v>18</v>
      </c>
      <c r="Q172" t="str">
        <f>TEXT(dailyActivity_merged[[#This Row],[ActivityDate]],"dddd")</f>
        <v>Thursday</v>
      </c>
    </row>
    <row r="173" spans="1:17" x14ac:dyDescent="0.35">
      <c r="A173" s="1">
        <v>4020332650</v>
      </c>
      <c r="B173" s="2">
        <v>42447</v>
      </c>
      <c r="C173" s="1">
        <v>368</v>
      </c>
      <c r="D173" s="1">
        <v>0.25999999000000001</v>
      </c>
      <c r="E173" s="1">
        <v>0.25999999000000001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1440</v>
      </c>
      <c r="O173" s="1">
        <v>2024</v>
      </c>
      <c r="P173" s="1" t="s">
        <v>17</v>
      </c>
      <c r="Q173" t="str">
        <f>TEXT(dailyActivity_merged[[#This Row],[ActivityDate]],"dddd")</f>
        <v>Friday</v>
      </c>
    </row>
    <row r="174" spans="1:17" x14ac:dyDescent="0.35">
      <c r="A174" s="1">
        <v>4020332650</v>
      </c>
      <c r="B174" s="2">
        <v>42448</v>
      </c>
      <c r="C174" s="1">
        <v>5702</v>
      </c>
      <c r="D174" s="1">
        <v>4.0900001530000001</v>
      </c>
      <c r="E174" s="1">
        <v>4.0900001530000001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1440</v>
      </c>
      <c r="O174" s="1">
        <v>2980</v>
      </c>
      <c r="P174" s="1" t="s">
        <v>19</v>
      </c>
      <c r="Q174" t="str">
        <f>TEXT(dailyActivity_merged[[#This Row],[ActivityDate]],"dddd")</f>
        <v>Saturday</v>
      </c>
    </row>
    <row r="175" spans="1:17" x14ac:dyDescent="0.35">
      <c r="A175" s="1">
        <v>4020332650</v>
      </c>
      <c r="B175" s="2">
        <v>42449</v>
      </c>
      <c r="C175" s="1">
        <v>10330</v>
      </c>
      <c r="D175" s="1">
        <v>7.4099998469999999</v>
      </c>
      <c r="E175" s="1">
        <v>7.4099998469999999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1440</v>
      </c>
      <c r="O175" s="1">
        <v>3728</v>
      </c>
      <c r="P175" s="1" t="s">
        <v>16</v>
      </c>
      <c r="Q175" t="str">
        <f>TEXT(dailyActivity_merged[[#This Row],[ActivityDate]],"dddd")</f>
        <v>Sunday</v>
      </c>
    </row>
    <row r="176" spans="1:17" x14ac:dyDescent="0.35">
      <c r="A176" s="1">
        <v>4020332650</v>
      </c>
      <c r="B176" s="2">
        <v>42450</v>
      </c>
      <c r="C176" s="1">
        <v>8778</v>
      </c>
      <c r="D176" s="1">
        <v>6.2899999619999996</v>
      </c>
      <c r="E176" s="1">
        <v>6.2899999619999996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1440</v>
      </c>
      <c r="O176" s="1">
        <v>3348</v>
      </c>
      <c r="P176" s="1" t="s">
        <v>18</v>
      </c>
      <c r="Q176" t="str">
        <f>TEXT(dailyActivity_merged[[#This Row],[ActivityDate]],"dddd")</f>
        <v>Monday</v>
      </c>
    </row>
    <row r="177" spans="1:17" x14ac:dyDescent="0.35">
      <c r="A177" s="1">
        <v>4020332650</v>
      </c>
      <c r="B177" s="2">
        <v>42451</v>
      </c>
      <c r="C177" s="1">
        <v>6662</v>
      </c>
      <c r="D177" s="1">
        <v>4.7800002099999999</v>
      </c>
      <c r="E177" s="1">
        <v>4.7800002099999999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1440</v>
      </c>
      <c r="O177" s="1">
        <v>3162</v>
      </c>
      <c r="P177" s="1" t="s">
        <v>19</v>
      </c>
      <c r="Q177" t="str">
        <f>TEXT(dailyActivity_merged[[#This Row],[ActivityDate]],"dddd")</f>
        <v>Tuesday</v>
      </c>
    </row>
    <row r="178" spans="1:17" x14ac:dyDescent="0.35">
      <c r="A178" s="1">
        <v>4020332650</v>
      </c>
      <c r="B178" s="2">
        <v>42452</v>
      </c>
      <c r="C178" s="1">
        <v>6309</v>
      </c>
      <c r="D178" s="1">
        <v>4.5199999809999998</v>
      </c>
      <c r="E178" s="1">
        <v>4.5199999809999998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1440</v>
      </c>
      <c r="O178" s="1">
        <v>3140</v>
      </c>
      <c r="P178" s="1" t="s">
        <v>19</v>
      </c>
      <c r="Q178" t="str">
        <f>TEXT(dailyActivity_merged[[#This Row],[ActivityDate]],"dddd")</f>
        <v>Wednesday</v>
      </c>
    </row>
    <row r="179" spans="1:17" x14ac:dyDescent="0.35">
      <c r="A179" s="1">
        <v>4020332650</v>
      </c>
      <c r="B179" s="2">
        <v>42453</v>
      </c>
      <c r="C179" s="1">
        <v>1951</v>
      </c>
      <c r="D179" s="1">
        <v>1.4099999670000001</v>
      </c>
      <c r="E179" s="1">
        <v>1.4099999670000001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1440</v>
      </c>
      <c r="O179" s="1">
        <v>1980</v>
      </c>
      <c r="P179" s="1" t="s">
        <v>17</v>
      </c>
      <c r="Q179" t="str">
        <f>TEXT(dailyActivity_merged[[#This Row],[ActivityDate]],"dddd")</f>
        <v>Thursday</v>
      </c>
    </row>
    <row r="180" spans="1:17" x14ac:dyDescent="0.35">
      <c r="A180" s="1">
        <v>4020332650</v>
      </c>
      <c r="B180" s="2">
        <v>42454</v>
      </c>
      <c r="C180" s="1">
        <v>5563</v>
      </c>
      <c r="D180" s="1">
        <v>3.9900000100000002</v>
      </c>
      <c r="E180" s="1">
        <v>3.9900000100000002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1440</v>
      </c>
      <c r="O180" s="1">
        <v>3681</v>
      </c>
      <c r="P180" s="1" t="s">
        <v>19</v>
      </c>
      <c r="Q180" t="str">
        <f>TEXT(dailyActivity_merged[[#This Row],[ActivityDate]],"dddd")</f>
        <v>Friday</v>
      </c>
    </row>
    <row r="181" spans="1:17" x14ac:dyDescent="0.35">
      <c r="A181" s="1">
        <v>4020332650</v>
      </c>
      <c r="B181" s="2">
        <v>42455</v>
      </c>
      <c r="C181" s="1">
        <v>4370</v>
      </c>
      <c r="D181" s="1">
        <v>3.130000114</v>
      </c>
      <c r="E181" s="1">
        <v>3.130000114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1440</v>
      </c>
      <c r="O181" s="1">
        <v>3444</v>
      </c>
      <c r="P181" s="1" t="s">
        <v>17</v>
      </c>
      <c r="Q181" t="str">
        <f>TEXT(dailyActivity_merged[[#This Row],[ActivityDate]],"dddd")</f>
        <v>Saturday</v>
      </c>
    </row>
    <row r="182" spans="1:17" x14ac:dyDescent="0.35">
      <c r="A182" s="1">
        <v>4020332650</v>
      </c>
      <c r="B182" s="2">
        <v>42456</v>
      </c>
      <c r="C182" s="1">
        <v>7144</v>
      </c>
      <c r="D182" s="1">
        <v>5.1199998860000004</v>
      </c>
      <c r="E182" s="1">
        <v>5.1199998860000004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1440</v>
      </c>
      <c r="O182" s="1">
        <v>3510</v>
      </c>
      <c r="P182" s="1" t="s">
        <v>19</v>
      </c>
      <c r="Q182" t="str">
        <f>TEXT(dailyActivity_merged[[#This Row],[ActivityDate]],"dddd")</f>
        <v>Sunday</v>
      </c>
    </row>
    <row r="183" spans="1:17" x14ac:dyDescent="0.35">
      <c r="A183" s="1">
        <v>4020332650</v>
      </c>
      <c r="B183" s="2">
        <v>42457</v>
      </c>
      <c r="C183" s="1">
        <v>2106</v>
      </c>
      <c r="D183" s="1">
        <v>1.5099999900000001</v>
      </c>
      <c r="E183" s="1">
        <v>1.5099999900000001</v>
      </c>
      <c r="F183" s="1">
        <v>0</v>
      </c>
      <c r="G183" s="1">
        <v>0.02</v>
      </c>
      <c r="H183" s="1">
        <v>5.0000001000000002E-2</v>
      </c>
      <c r="I183" s="1">
        <v>0.209999993</v>
      </c>
      <c r="J183" s="1">
        <v>0</v>
      </c>
      <c r="K183" s="1">
        <v>31</v>
      </c>
      <c r="L183" s="1">
        <v>45</v>
      </c>
      <c r="M183" s="1">
        <v>75</v>
      </c>
      <c r="N183" s="1">
        <v>1289</v>
      </c>
      <c r="O183" s="1">
        <v>4010</v>
      </c>
      <c r="P183" s="1" t="s">
        <v>17</v>
      </c>
      <c r="Q183" t="str">
        <f>TEXT(dailyActivity_merged[[#This Row],[ActivityDate]],"dddd")</f>
        <v>Monday</v>
      </c>
    </row>
    <row r="184" spans="1:17" x14ac:dyDescent="0.35">
      <c r="A184" s="1">
        <v>4020332650</v>
      </c>
      <c r="B184" s="2">
        <v>42458</v>
      </c>
      <c r="C184" s="1">
        <v>4152</v>
      </c>
      <c r="D184" s="1">
        <v>2.9800000190000002</v>
      </c>
      <c r="E184" s="1">
        <v>2.9800000190000002</v>
      </c>
      <c r="F184" s="1">
        <v>0</v>
      </c>
      <c r="G184" s="1">
        <v>0</v>
      </c>
      <c r="H184" s="1">
        <v>0</v>
      </c>
      <c r="I184" s="1">
        <v>2.960000038</v>
      </c>
      <c r="J184" s="1">
        <v>0</v>
      </c>
      <c r="K184" s="1">
        <v>0</v>
      </c>
      <c r="L184" s="1">
        <v>0</v>
      </c>
      <c r="M184" s="1">
        <v>187</v>
      </c>
      <c r="N184" s="1">
        <v>1253</v>
      </c>
      <c r="O184" s="1">
        <v>2976</v>
      </c>
      <c r="P184" s="1" t="s">
        <v>17</v>
      </c>
      <c r="Q184" t="str">
        <f>TEXT(dailyActivity_merged[[#This Row],[ActivityDate]],"dddd")</f>
        <v>Tuesday</v>
      </c>
    </row>
    <row r="185" spans="1:17" x14ac:dyDescent="0.35">
      <c r="A185" s="1">
        <v>4020332650</v>
      </c>
      <c r="B185" s="2">
        <v>42459</v>
      </c>
      <c r="C185" s="1">
        <v>5400</v>
      </c>
      <c r="D185" s="1">
        <v>3.869999886</v>
      </c>
      <c r="E185" s="1">
        <v>3.869999886</v>
      </c>
      <c r="F185" s="1">
        <v>0</v>
      </c>
      <c r="G185" s="1">
        <v>0</v>
      </c>
      <c r="H185" s="1">
        <v>0</v>
      </c>
      <c r="I185" s="1">
        <v>3.8499999049999998</v>
      </c>
      <c r="J185" s="1">
        <v>0</v>
      </c>
      <c r="K185" s="1">
        <v>0</v>
      </c>
      <c r="L185" s="1">
        <v>0</v>
      </c>
      <c r="M185" s="1">
        <v>258</v>
      </c>
      <c r="N185" s="1">
        <v>795</v>
      </c>
      <c r="O185" s="1">
        <v>3418</v>
      </c>
      <c r="P185" s="1" t="s">
        <v>19</v>
      </c>
      <c r="Q185" t="str">
        <f>TEXT(dailyActivity_merged[[#This Row],[ActivityDate]],"dddd")</f>
        <v>Wednesday</v>
      </c>
    </row>
    <row r="186" spans="1:17" x14ac:dyDescent="0.35">
      <c r="A186" s="1">
        <v>4020332650</v>
      </c>
      <c r="B186" s="2">
        <v>42460</v>
      </c>
      <c r="C186" s="1">
        <v>7428</v>
      </c>
      <c r="D186" s="1">
        <v>5.329999924</v>
      </c>
      <c r="E186" s="1">
        <v>5.329999924</v>
      </c>
      <c r="F186" s="1">
        <v>0</v>
      </c>
      <c r="G186" s="1">
        <v>0.87000000499999997</v>
      </c>
      <c r="H186" s="1">
        <v>0.920000017</v>
      </c>
      <c r="I186" s="1">
        <v>3.5099999899999998</v>
      </c>
      <c r="J186" s="1">
        <v>0</v>
      </c>
      <c r="K186" s="1">
        <v>18</v>
      </c>
      <c r="L186" s="1">
        <v>33</v>
      </c>
      <c r="M186" s="1">
        <v>261</v>
      </c>
      <c r="N186" s="1">
        <v>860</v>
      </c>
      <c r="O186" s="1">
        <v>3439</v>
      </c>
      <c r="P186" s="1" t="s">
        <v>19</v>
      </c>
      <c r="Q186" t="str">
        <f>TEXT(dailyActivity_merged[[#This Row],[ActivityDate]],"dddd")</f>
        <v>Thursday</v>
      </c>
    </row>
    <row r="187" spans="1:17" x14ac:dyDescent="0.35">
      <c r="A187" s="1">
        <v>4020332650</v>
      </c>
      <c r="B187" s="2">
        <v>42461</v>
      </c>
      <c r="C187" s="1">
        <v>5351</v>
      </c>
      <c r="D187" s="1">
        <v>3.8399999139999998</v>
      </c>
      <c r="E187" s="1">
        <v>3.8399999139999998</v>
      </c>
      <c r="F187" s="1">
        <v>0</v>
      </c>
      <c r="G187" s="1">
        <v>0.62000000499999997</v>
      </c>
      <c r="H187" s="1">
        <v>0.18000000699999999</v>
      </c>
      <c r="I187" s="1">
        <v>3.0099999899999998</v>
      </c>
      <c r="J187" s="1">
        <v>0</v>
      </c>
      <c r="K187" s="1">
        <v>15</v>
      </c>
      <c r="L187" s="1">
        <v>17</v>
      </c>
      <c r="M187" s="1">
        <v>210</v>
      </c>
      <c r="N187" s="1">
        <v>748</v>
      </c>
      <c r="O187" s="1">
        <v>3338</v>
      </c>
      <c r="P187" s="1" t="s">
        <v>19</v>
      </c>
      <c r="Q187" t="str">
        <f>TEXT(dailyActivity_merged[[#This Row],[ActivityDate]],"dddd")</f>
        <v>Friday</v>
      </c>
    </row>
    <row r="188" spans="1:17" x14ac:dyDescent="0.35">
      <c r="A188" s="1">
        <v>4020332650</v>
      </c>
      <c r="B188" s="2">
        <v>42462</v>
      </c>
      <c r="C188" s="1">
        <v>4299</v>
      </c>
      <c r="D188" s="1">
        <v>3.0999999049999998</v>
      </c>
      <c r="E188" s="1">
        <v>3.0999999049999998</v>
      </c>
      <c r="F188" s="1">
        <v>0</v>
      </c>
      <c r="G188" s="1">
        <v>9.0000003999999995E-2</v>
      </c>
      <c r="H188" s="1">
        <v>0.209999993</v>
      </c>
      <c r="I188" s="1">
        <v>2.7400000100000002</v>
      </c>
      <c r="J188" s="1">
        <v>3.9999999000000001E-2</v>
      </c>
      <c r="K188" s="1">
        <v>3</v>
      </c>
      <c r="L188" s="1">
        <v>15</v>
      </c>
      <c r="M188" s="1">
        <v>162</v>
      </c>
      <c r="N188" s="1">
        <v>752</v>
      </c>
      <c r="O188" s="1">
        <v>2892</v>
      </c>
      <c r="P188" s="1" t="s">
        <v>17</v>
      </c>
      <c r="Q188" t="str">
        <f>TEXT(dailyActivity_merged[[#This Row],[ActivityDate]],"dddd")</f>
        <v>Saturday</v>
      </c>
    </row>
    <row r="189" spans="1:17" x14ac:dyDescent="0.35">
      <c r="A189" s="1">
        <v>4020332650</v>
      </c>
      <c r="B189" s="2">
        <v>42463</v>
      </c>
      <c r="C189" s="1">
        <v>6107</v>
      </c>
      <c r="D189" s="1">
        <v>4.3800001139999996</v>
      </c>
      <c r="E189" s="1">
        <v>4.3800001139999996</v>
      </c>
      <c r="F189" s="1">
        <v>0</v>
      </c>
      <c r="G189" s="1">
        <v>0</v>
      </c>
      <c r="H189" s="1">
        <v>0</v>
      </c>
      <c r="I189" s="1">
        <v>4.3600001339999999</v>
      </c>
      <c r="J189" s="1">
        <v>0</v>
      </c>
      <c r="K189" s="1">
        <v>0</v>
      </c>
      <c r="L189" s="1">
        <v>0</v>
      </c>
      <c r="M189" s="1">
        <v>265</v>
      </c>
      <c r="N189" s="1">
        <v>776</v>
      </c>
      <c r="O189" s="1">
        <v>3313</v>
      </c>
      <c r="P189" s="1" t="s">
        <v>19</v>
      </c>
      <c r="Q189" t="str">
        <f>TEXT(dailyActivity_merged[[#This Row],[ActivityDate]],"dddd")</f>
        <v>Sunday</v>
      </c>
    </row>
    <row r="190" spans="1:17" x14ac:dyDescent="0.35">
      <c r="A190" s="1">
        <v>4020332650</v>
      </c>
      <c r="B190" s="2">
        <v>42464</v>
      </c>
      <c r="C190" s="1">
        <v>6429</v>
      </c>
      <c r="D190" s="1">
        <v>4.5999999049999998</v>
      </c>
      <c r="E190" s="1">
        <v>4.5999999049999998</v>
      </c>
      <c r="F190" s="1">
        <v>0</v>
      </c>
      <c r="G190" s="1">
        <v>0</v>
      </c>
      <c r="H190" s="1">
        <v>0.94999998799999996</v>
      </c>
      <c r="I190" s="1">
        <v>3.6500000950000002</v>
      </c>
      <c r="J190" s="1">
        <v>0</v>
      </c>
      <c r="K190" s="1">
        <v>0</v>
      </c>
      <c r="L190" s="1">
        <v>28</v>
      </c>
      <c r="M190" s="1">
        <v>193</v>
      </c>
      <c r="N190" s="1">
        <v>741</v>
      </c>
      <c r="O190" s="1">
        <v>3118</v>
      </c>
      <c r="P190" s="1" t="s">
        <v>19</v>
      </c>
      <c r="Q190" t="str">
        <f>TEXT(dailyActivity_merged[[#This Row],[ActivityDate]],"dddd")</f>
        <v>Monday</v>
      </c>
    </row>
    <row r="191" spans="1:17" x14ac:dyDescent="0.35">
      <c r="A191" s="1">
        <v>4020332650</v>
      </c>
      <c r="B191" s="2">
        <v>42465</v>
      </c>
      <c r="C191" s="1">
        <v>6880</v>
      </c>
      <c r="D191" s="1">
        <v>4.9299998279999997</v>
      </c>
      <c r="E191" s="1">
        <v>4.9299998279999997</v>
      </c>
      <c r="F191" s="1">
        <v>0</v>
      </c>
      <c r="G191" s="1">
        <v>0.5</v>
      </c>
      <c r="H191" s="1">
        <v>0.75999998999999996</v>
      </c>
      <c r="I191" s="1">
        <v>3.6500000950000002</v>
      </c>
      <c r="J191" s="1">
        <v>0</v>
      </c>
      <c r="K191" s="1">
        <v>7</v>
      </c>
      <c r="L191" s="1">
        <v>19</v>
      </c>
      <c r="M191" s="1">
        <v>165</v>
      </c>
      <c r="N191" s="1">
        <v>1249</v>
      </c>
      <c r="O191" s="1">
        <v>2966</v>
      </c>
      <c r="P191" s="1" t="s">
        <v>19</v>
      </c>
      <c r="Q191" t="str">
        <f>TEXT(dailyActivity_merged[[#This Row],[ActivityDate]],"dddd")</f>
        <v>Tuesday</v>
      </c>
    </row>
    <row r="192" spans="1:17" x14ac:dyDescent="0.35">
      <c r="A192" s="1">
        <v>4020332650</v>
      </c>
      <c r="B192" s="2">
        <v>42466</v>
      </c>
      <c r="C192" s="1">
        <v>7476</v>
      </c>
      <c r="D192" s="1">
        <v>5.3600001339999999</v>
      </c>
      <c r="E192" s="1">
        <v>5.3600001339999999</v>
      </c>
      <c r="F192" s="1">
        <v>0</v>
      </c>
      <c r="G192" s="1">
        <v>0</v>
      </c>
      <c r="H192" s="1">
        <v>0</v>
      </c>
      <c r="I192" s="1">
        <v>5.3099999430000002</v>
      </c>
      <c r="J192" s="1">
        <v>0</v>
      </c>
      <c r="K192" s="1">
        <v>0</v>
      </c>
      <c r="L192" s="1">
        <v>0</v>
      </c>
      <c r="M192" s="1">
        <v>263</v>
      </c>
      <c r="N192" s="1">
        <v>920</v>
      </c>
      <c r="O192" s="1">
        <v>3253</v>
      </c>
      <c r="P192" s="1" t="s">
        <v>19</v>
      </c>
      <c r="Q192" t="str">
        <f>TEXT(dailyActivity_merged[[#This Row],[ActivityDate]],"dddd")</f>
        <v>Wednesday</v>
      </c>
    </row>
    <row r="193" spans="1:17" x14ac:dyDescent="0.35">
      <c r="A193" s="1">
        <v>4020332650</v>
      </c>
      <c r="B193" s="2">
        <v>42467</v>
      </c>
      <c r="C193" s="1">
        <v>6581</v>
      </c>
      <c r="D193" s="1">
        <v>4.7199997900000001</v>
      </c>
      <c r="E193" s="1">
        <v>4.7199997900000001</v>
      </c>
      <c r="F193" s="1">
        <v>0</v>
      </c>
      <c r="G193" s="1">
        <v>0</v>
      </c>
      <c r="H193" s="1">
        <v>0.28999999199999998</v>
      </c>
      <c r="I193" s="1">
        <v>4.3899998660000001</v>
      </c>
      <c r="J193" s="1">
        <v>0</v>
      </c>
      <c r="K193" s="1">
        <v>0</v>
      </c>
      <c r="L193" s="1">
        <v>8</v>
      </c>
      <c r="M193" s="1">
        <v>241</v>
      </c>
      <c r="N193" s="1">
        <v>1191</v>
      </c>
      <c r="O193" s="1">
        <v>3032</v>
      </c>
      <c r="P193" s="1" t="s">
        <v>19</v>
      </c>
      <c r="Q193" t="str">
        <f>TEXT(dailyActivity_merged[[#This Row],[ActivityDate]],"dddd")</f>
        <v>Thursday</v>
      </c>
    </row>
    <row r="194" spans="1:17" x14ac:dyDescent="0.35">
      <c r="A194" s="1">
        <v>4020332650</v>
      </c>
      <c r="B194" s="2">
        <v>42468</v>
      </c>
      <c r="C194" s="1">
        <v>10480</v>
      </c>
      <c r="D194" s="1">
        <v>7.5100002290000001</v>
      </c>
      <c r="E194" s="1">
        <v>7.5100002290000001</v>
      </c>
      <c r="F194" s="1">
        <v>0</v>
      </c>
      <c r="G194" s="1">
        <v>0.40999999599999998</v>
      </c>
      <c r="H194" s="1">
        <v>1.4700000289999999</v>
      </c>
      <c r="I194" s="1">
        <v>5.0100002290000001</v>
      </c>
      <c r="J194" s="1">
        <v>3.9999999000000001E-2</v>
      </c>
      <c r="K194" s="1">
        <v>6</v>
      </c>
      <c r="L194" s="1">
        <v>37</v>
      </c>
      <c r="M194" s="1">
        <v>272</v>
      </c>
      <c r="N194" s="1">
        <v>1125</v>
      </c>
      <c r="O194" s="1">
        <v>4034</v>
      </c>
      <c r="P194" s="1" t="s">
        <v>16</v>
      </c>
      <c r="Q194" t="str">
        <f>TEXT(dailyActivity_merged[[#This Row],[ActivityDate]],"dddd")</f>
        <v>Friday</v>
      </c>
    </row>
    <row r="195" spans="1:17" x14ac:dyDescent="0.35">
      <c r="A195" s="1">
        <v>4020332650</v>
      </c>
      <c r="B195" s="2">
        <v>42469</v>
      </c>
      <c r="C195" s="1">
        <v>7734</v>
      </c>
      <c r="D195" s="1">
        <v>5.5500001909999996</v>
      </c>
      <c r="E195" s="1">
        <v>5.5500001909999996</v>
      </c>
      <c r="F195" s="1">
        <v>0</v>
      </c>
      <c r="G195" s="1">
        <v>1.1599999670000001</v>
      </c>
      <c r="H195" s="1">
        <v>0.49000000999999999</v>
      </c>
      <c r="I195" s="1">
        <v>3.8199999330000001</v>
      </c>
      <c r="J195" s="1">
        <v>5.9999998999999998E-2</v>
      </c>
      <c r="K195" s="1">
        <v>20</v>
      </c>
      <c r="L195" s="1">
        <v>12</v>
      </c>
      <c r="M195" s="1">
        <v>223</v>
      </c>
      <c r="N195" s="1">
        <v>1185</v>
      </c>
      <c r="O195" s="1">
        <v>3264</v>
      </c>
      <c r="P195" s="1" t="s">
        <v>18</v>
      </c>
      <c r="Q195" t="str">
        <f>TEXT(dailyActivity_merged[[#This Row],[ActivityDate]],"dddd")</f>
        <v>Saturday</v>
      </c>
    </row>
    <row r="196" spans="1:17" x14ac:dyDescent="0.35">
      <c r="A196" s="1">
        <v>4020332650</v>
      </c>
      <c r="B196" s="2">
        <v>42470</v>
      </c>
      <c r="C196" s="1">
        <v>5129</v>
      </c>
      <c r="D196" s="1">
        <v>3.6800000669999999</v>
      </c>
      <c r="E196" s="1">
        <v>3.6800000669999999</v>
      </c>
      <c r="F196" s="1">
        <v>0</v>
      </c>
      <c r="G196" s="1">
        <v>0.18000000699999999</v>
      </c>
      <c r="H196" s="1">
        <v>0.23999999499999999</v>
      </c>
      <c r="I196" s="1">
        <v>3.210000038</v>
      </c>
      <c r="J196" s="1">
        <v>0.01</v>
      </c>
      <c r="K196" s="1">
        <v>5</v>
      </c>
      <c r="L196" s="1">
        <v>7</v>
      </c>
      <c r="M196" s="1">
        <v>176</v>
      </c>
      <c r="N196" s="1">
        <v>1178</v>
      </c>
      <c r="O196" s="1">
        <v>2817</v>
      </c>
      <c r="P196" s="1" t="s">
        <v>19</v>
      </c>
      <c r="Q196" t="str">
        <f>TEXT(dailyActivity_merged[[#This Row],[ActivityDate]],"dddd")</f>
        <v>Sunday</v>
      </c>
    </row>
    <row r="197" spans="1:17" x14ac:dyDescent="0.35">
      <c r="A197" s="1">
        <v>4020332650</v>
      </c>
      <c r="B197" s="2">
        <v>42471</v>
      </c>
      <c r="C197" s="1">
        <v>2993</v>
      </c>
      <c r="D197" s="1">
        <v>2.1500000950000002</v>
      </c>
      <c r="E197" s="1">
        <v>2.1500000950000002</v>
      </c>
      <c r="F197" s="1">
        <v>0</v>
      </c>
      <c r="G197" s="1">
        <v>0</v>
      </c>
      <c r="H197" s="1">
        <v>0</v>
      </c>
      <c r="I197" s="1">
        <v>2.0899999139999998</v>
      </c>
      <c r="J197" s="1">
        <v>0</v>
      </c>
      <c r="K197" s="1">
        <v>0</v>
      </c>
      <c r="L197" s="1">
        <v>0</v>
      </c>
      <c r="M197" s="1">
        <v>114</v>
      </c>
      <c r="N197" s="1">
        <v>888</v>
      </c>
      <c r="O197" s="1">
        <v>2507</v>
      </c>
      <c r="P197" s="1" t="s">
        <v>17</v>
      </c>
      <c r="Q197" t="str">
        <f>TEXT(dailyActivity_merged[[#This Row],[ActivityDate]],"dddd")</f>
        <v>Monday</v>
      </c>
    </row>
    <row r="198" spans="1:17" x14ac:dyDescent="0.35">
      <c r="A198" s="1">
        <v>4020332650</v>
      </c>
      <c r="B198" s="2">
        <v>42472</v>
      </c>
      <c r="C198" s="1">
        <v>8</v>
      </c>
      <c r="D198" s="1">
        <v>0.01</v>
      </c>
      <c r="E198" s="1">
        <v>0.01</v>
      </c>
      <c r="F198" s="1">
        <v>0</v>
      </c>
      <c r="G198" s="1">
        <v>0</v>
      </c>
      <c r="H198" s="1">
        <v>0</v>
      </c>
      <c r="I198" s="1">
        <v>0.01</v>
      </c>
      <c r="J198" s="1">
        <v>0</v>
      </c>
      <c r="K198" s="1">
        <v>0</v>
      </c>
      <c r="L198" s="1">
        <v>0</v>
      </c>
      <c r="M198" s="1">
        <v>1</v>
      </c>
      <c r="N198" s="1">
        <v>321</v>
      </c>
      <c r="O198" s="1">
        <v>446</v>
      </c>
      <c r="P198" s="1" t="s">
        <v>17</v>
      </c>
      <c r="Q198" t="str">
        <f>TEXT(dailyActivity_merged[[#This Row],[ActivityDate]],"dddd")</f>
        <v>Tuesday</v>
      </c>
    </row>
    <row r="199" spans="1:17" x14ac:dyDescent="0.35">
      <c r="A199" s="1">
        <v>4057192912</v>
      </c>
      <c r="B199" s="2">
        <v>42441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1440</v>
      </c>
      <c r="O199" s="1">
        <v>1777</v>
      </c>
      <c r="P199" s="1" t="s">
        <v>17</v>
      </c>
      <c r="Q199" t="str">
        <f>TEXT(dailyActivity_merged[[#This Row],[ActivityDate]],"dddd")</f>
        <v>Saturday</v>
      </c>
    </row>
    <row r="200" spans="1:17" x14ac:dyDescent="0.35">
      <c r="A200" s="1">
        <v>4057192912</v>
      </c>
      <c r="B200" s="2">
        <v>42442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1440</v>
      </c>
      <c r="O200" s="1">
        <v>1777</v>
      </c>
      <c r="P200" s="1" t="s">
        <v>17</v>
      </c>
      <c r="Q200" t="str">
        <f>TEXT(dailyActivity_merged[[#This Row],[ActivityDate]],"dddd")</f>
        <v>Sunday</v>
      </c>
    </row>
    <row r="201" spans="1:17" x14ac:dyDescent="0.35">
      <c r="A201" s="1">
        <v>4057192912</v>
      </c>
      <c r="B201" s="2">
        <v>42443</v>
      </c>
      <c r="C201" s="1">
        <v>8433</v>
      </c>
      <c r="D201" s="1">
        <v>6.2300000190000002</v>
      </c>
      <c r="E201" s="1">
        <v>6.2300000190000002</v>
      </c>
      <c r="F201" s="1">
        <v>0</v>
      </c>
      <c r="G201" s="1">
        <v>2.4500000480000002</v>
      </c>
      <c r="H201" s="1">
        <v>0.33000001299999998</v>
      </c>
      <c r="I201" s="1">
        <v>3.4400000569999998</v>
      </c>
      <c r="J201" s="1">
        <v>0</v>
      </c>
      <c r="K201" s="1">
        <v>30</v>
      </c>
      <c r="L201" s="1">
        <v>7</v>
      </c>
      <c r="M201" s="1">
        <v>135</v>
      </c>
      <c r="N201" s="1">
        <v>1268</v>
      </c>
      <c r="O201" s="1">
        <v>2453</v>
      </c>
      <c r="P201" s="1" t="s">
        <v>18</v>
      </c>
      <c r="Q201" t="str">
        <f>TEXT(dailyActivity_merged[[#This Row],[ActivityDate]],"dddd")</f>
        <v>Monday</v>
      </c>
    </row>
    <row r="202" spans="1:17" x14ac:dyDescent="0.35">
      <c r="A202" s="1">
        <v>4057192912</v>
      </c>
      <c r="B202" s="2">
        <v>42444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1440</v>
      </c>
      <c r="O202" s="1">
        <v>1776</v>
      </c>
      <c r="P202" s="1" t="s">
        <v>17</v>
      </c>
      <c r="Q202" t="str">
        <f>TEXT(dailyActivity_merged[[#This Row],[ActivityDate]],"dddd")</f>
        <v>Tuesday</v>
      </c>
    </row>
    <row r="203" spans="1:17" x14ac:dyDescent="0.35">
      <c r="A203" s="1">
        <v>4057192912</v>
      </c>
      <c r="B203" s="2">
        <v>42445</v>
      </c>
      <c r="C203" s="1">
        <v>2139</v>
      </c>
      <c r="D203" s="1">
        <v>1.559999943</v>
      </c>
      <c r="E203" s="1">
        <v>1.559999943</v>
      </c>
      <c r="F203" s="1">
        <v>0</v>
      </c>
      <c r="G203" s="1">
        <v>0</v>
      </c>
      <c r="H203" s="1">
        <v>1.2999999520000001</v>
      </c>
      <c r="I203" s="1">
        <v>0.25999999000000001</v>
      </c>
      <c r="J203" s="1">
        <v>0</v>
      </c>
      <c r="K203" s="1">
        <v>0</v>
      </c>
      <c r="L203" s="1">
        <v>28</v>
      </c>
      <c r="M203" s="1">
        <v>15</v>
      </c>
      <c r="N203" s="1">
        <v>1397</v>
      </c>
      <c r="O203" s="1">
        <v>1935</v>
      </c>
      <c r="P203" s="1" t="s">
        <v>17</v>
      </c>
      <c r="Q203" t="str">
        <f>TEXT(dailyActivity_merged[[#This Row],[ActivityDate]],"dddd")</f>
        <v>Wednesday</v>
      </c>
    </row>
    <row r="204" spans="1:17" x14ac:dyDescent="0.35">
      <c r="A204" s="1">
        <v>4057192912</v>
      </c>
      <c r="B204" s="2">
        <v>42446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1440</v>
      </c>
      <c r="O204" s="1">
        <v>1776</v>
      </c>
      <c r="P204" s="1" t="s">
        <v>17</v>
      </c>
      <c r="Q204" t="str">
        <f>TEXT(dailyActivity_merged[[#This Row],[ActivityDate]],"dddd")</f>
        <v>Thursday</v>
      </c>
    </row>
    <row r="205" spans="1:17" x14ac:dyDescent="0.35">
      <c r="A205" s="1">
        <v>4057192912</v>
      </c>
      <c r="B205" s="2">
        <v>42447</v>
      </c>
      <c r="C205" s="1">
        <v>949</v>
      </c>
      <c r="D205" s="1">
        <v>0.689999998</v>
      </c>
      <c r="E205" s="1">
        <v>0.689999998</v>
      </c>
      <c r="F205" s="1">
        <v>0</v>
      </c>
      <c r="G205" s="1">
        <v>0</v>
      </c>
      <c r="H205" s="1">
        <v>0</v>
      </c>
      <c r="I205" s="1">
        <v>0.689999998</v>
      </c>
      <c r="J205" s="1">
        <v>0</v>
      </c>
      <c r="K205" s="1">
        <v>0</v>
      </c>
      <c r="L205" s="1">
        <v>0</v>
      </c>
      <c r="M205" s="1">
        <v>34</v>
      </c>
      <c r="N205" s="1">
        <v>1406</v>
      </c>
      <c r="O205" s="1">
        <v>1870</v>
      </c>
      <c r="P205" s="1" t="s">
        <v>17</v>
      </c>
      <c r="Q205" t="str">
        <f>TEXT(dailyActivity_merged[[#This Row],[ActivityDate]],"dddd")</f>
        <v>Friday</v>
      </c>
    </row>
    <row r="206" spans="1:17" x14ac:dyDescent="0.35">
      <c r="A206" s="1">
        <v>4057192912</v>
      </c>
      <c r="B206" s="2">
        <v>42448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1440</v>
      </c>
      <c r="O206" s="1">
        <v>1777</v>
      </c>
      <c r="P206" s="1" t="s">
        <v>17</v>
      </c>
      <c r="Q206" t="str">
        <f>TEXT(dailyActivity_merged[[#This Row],[ActivityDate]],"dddd")</f>
        <v>Saturday</v>
      </c>
    </row>
    <row r="207" spans="1:17" x14ac:dyDescent="0.35">
      <c r="A207" s="1">
        <v>4057192912</v>
      </c>
      <c r="B207" s="2">
        <v>42449</v>
      </c>
      <c r="C207" s="1">
        <v>44</v>
      </c>
      <c r="D207" s="1">
        <v>2.9999998999999999E-2</v>
      </c>
      <c r="E207" s="1">
        <v>2.9999998999999999E-2</v>
      </c>
      <c r="F207" s="1">
        <v>0</v>
      </c>
      <c r="G207" s="1">
        <v>0</v>
      </c>
      <c r="H207" s="1">
        <v>0</v>
      </c>
      <c r="I207" s="1">
        <v>2.9999998999999999E-2</v>
      </c>
      <c r="J207" s="1">
        <v>0</v>
      </c>
      <c r="K207" s="1">
        <v>0</v>
      </c>
      <c r="L207" s="1">
        <v>0</v>
      </c>
      <c r="M207" s="1">
        <v>2</v>
      </c>
      <c r="N207" s="1">
        <v>1438</v>
      </c>
      <c r="O207" s="1">
        <v>1782</v>
      </c>
      <c r="P207" s="1" t="s">
        <v>17</v>
      </c>
      <c r="Q207" t="str">
        <f>TEXT(dailyActivity_merged[[#This Row],[ActivityDate]],"dddd")</f>
        <v>Sunday</v>
      </c>
    </row>
    <row r="208" spans="1:17" x14ac:dyDescent="0.35">
      <c r="A208" s="1">
        <v>4057192912</v>
      </c>
      <c r="B208" s="2">
        <v>42450</v>
      </c>
      <c r="C208" s="1">
        <v>2660</v>
      </c>
      <c r="D208" s="1">
        <v>1.940000057</v>
      </c>
      <c r="E208" s="1">
        <v>1.940000057</v>
      </c>
      <c r="F208" s="1">
        <v>0</v>
      </c>
      <c r="G208" s="1">
        <v>0</v>
      </c>
      <c r="H208" s="1">
        <v>0</v>
      </c>
      <c r="I208" s="1">
        <v>1.940000057</v>
      </c>
      <c r="J208" s="1">
        <v>0</v>
      </c>
      <c r="K208" s="1">
        <v>0</v>
      </c>
      <c r="L208" s="1">
        <v>0</v>
      </c>
      <c r="M208" s="1">
        <v>46</v>
      </c>
      <c r="N208" s="1">
        <v>1394</v>
      </c>
      <c r="O208" s="1">
        <v>1978</v>
      </c>
      <c r="P208" s="1" t="s">
        <v>17</v>
      </c>
      <c r="Q208" t="str">
        <f>TEXT(dailyActivity_merged[[#This Row],[ActivityDate]],"dddd")</f>
        <v>Monday</v>
      </c>
    </row>
    <row r="209" spans="1:17" x14ac:dyDescent="0.35">
      <c r="A209" s="1">
        <v>4057192912</v>
      </c>
      <c r="B209" s="2">
        <v>42451</v>
      </c>
      <c r="C209" s="1">
        <v>5561</v>
      </c>
      <c r="D209" s="1">
        <v>4.1900000569999998</v>
      </c>
      <c r="E209" s="1">
        <v>4.1900000569999998</v>
      </c>
      <c r="F209" s="1">
        <v>0</v>
      </c>
      <c r="G209" s="1">
        <v>0</v>
      </c>
      <c r="H209" s="1">
        <v>0</v>
      </c>
      <c r="I209" s="1">
        <v>4.0700001720000003</v>
      </c>
      <c r="J209" s="1">
        <v>0</v>
      </c>
      <c r="K209" s="1">
        <v>0</v>
      </c>
      <c r="L209" s="1">
        <v>0</v>
      </c>
      <c r="M209" s="1">
        <v>169</v>
      </c>
      <c r="N209" s="1">
        <v>1271</v>
      </c>
      <c r="O209" s="1">
        <v>2296</v>
      </c>
      <c r="P209" s="1" t="s">
        <v>19</v>
      </c>
      <c r="Q209" t="str">
        <f>TEXT(dailyActivity_merged[[#This Row],[ActivityDate]],"dddd")</f>
        <v>Tuesday</v>
      </c>
    </row>
    <row r="210" spans="1:17" x14ac:dyDescent="0.35">
      <c r="A210" s="1">
        <v>4057192912</v>
      </c>
      <c r="B210" s="2">
        <v>42452</v>
      </c>
      <c r="C210" s="1">
        <v>7239</v>
      </c>
      <c r="D210" s="1">
        <v>5.3400001530000001</v>
      </c>
      <c r="E210" s="1">
        <v>5.3400001530000001</v>
      </c>
      <c r="F210" s="1">
        <v>0</v>
      </c>
      <c r="G210" s="1">
        <v>0.55000001200000004</v>
      </c>
      <c r="H210" s="1">
        <v>0.36000001399999998</v>
      </c>
      <c r="I210" s="1">
        <v>4.3800001139999996</v>
      </c>
      <c r="J210" s="1">
        <v>0</v>
      </c>
      <c r="K210" s="1">
        <v>7</v>
      </c>
      <c r="L210" s="1">
        <v>7</v>
      </c>
      <c r="M210" s="1">
        <v>190</v>
      </c>
      <c r="N210" s="1">
        <v>1236</v>
      </c>
      <c r="O210" s="1">
        <v>2484</v>
      </c>
      <c r="P210" s="1" t="s">
        <v>19</v>
      </c>
      <c r="Q210" t="str">
        <f>TEXT(dailyActivity_merged[[#This Row],[ActivityDate]],"dddd")</f>
        <v>Wednesday</v>
      </c>
    </row>
    <row r="211" spans="1:17" x14ac:dyDescent="0.35">
      <c r="A211" s="1">
        <v>4057192912</v>
      </c>
      <c r="B211" s="2">
        <v>42453</v>
      </c>
      <c r="C211" s="1">
        <v>7</v>
      </c>
      <c r="D211" s="1">
        <v>0.01</v>
      </c>
      <c r="E211" s="1">
        <v>0.01</v>
      </c>
      <c r="F211" s="1">
        <v>0</v>
      </c>
      <c r="G211" s="1">
        <v>0</v>
      </c>
      <c r="H211" s="1">
        <v>0</v>
      </c>
      <c r="I211" s="1">
        <v>0.01</v>
      </c>
      <c r="J211" s="1">
        <v>0</v>
      </c>
      <c r="K211" s="1">
        <v>0</v>
      </c>
      <c r="L211" s="1">
        <v>0</v>
      </c>
      <c r="M211" s="1">
        <v>1</v>
      </c>
      <c r="N211" s="1">
        <v>1439</v>
      </c>
      <c r="O211" s="1">
        <v>1787</v>
      </c>
      <c r="P211" s="1" t="s">
        <v>17</v>
      </c>
      <c r="Q211" t="str">
        <f>TEXT(dailyActivity_merged[[#This Row],[ActivityDate]],"dddd")</f>
        <v>Thursday</v>
      </c>
    </row>
    <row r="212" spans="1:17" x14ac:dyDescent="0.35">
      <c r="A212" s="1">
        <v>4057192912</v>
      </c>
      <c r="B212" s="2">
        <v>42454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1440</v>
      </c>
      <c r="O212" s="1">
        <v>1776</v>
      </c>
      <c r="P212" s="1" t="s">
        <v>17</v>
      </c>
      <c r="Q212" t="str">
        <f>TEXT(dailyActivity_merged[[#This Row],[ActivityDate]],"dddd")</f>
        <v>Friday</v>
      </c>
    </row>
    <row r="213" spans="1:17" x14ac:dyDescent="0.35">
      <c r="A213" s="1">
        <v>4057192912</v>
      </c>
      <c r="B213" s="2">
        <v>42455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1440</v>
      </c>
      <c r="O213" s="1">
        <v>1776</v>
      </c>
      <c r="P213" s="1" t="s">
        <v>17</v>
      </c>
      <c r="Q213" t="str">
        <f>TEXT(dailyActivity_merged[[#This Row],[ActivityDate]],"dddd")</f>
        <v>Saturday</v>
      </c>
    </row>
    <row r="214" spans="1:17" x14ac:dyDescent="0.35">
      <c r="A214" s="1">
        <v>4057192912</v>
      </c>
      <c r="B214" s="2">
        <v>42456</v>
      </c>
      <c r="C214" s="1">
        <v>2275</v>
      </c>
      <c r="D214" s="1">
        <v>1.6799999480000001</v>
      </c>
      <c r="E214" s="1">
        <v>1.6799999480000001</v>
      </c>
      <c r="F214" s="1">
        <v>0</v>
      </c>
      <c r="G214" s="1">
        <v>0</v>
      </c>
      <c r="H214" s="1">
        <v>0</v>
      </c>
      <c r="I214" s="1">
        <v>1.6599999670000001</v>
      </c>
      <c r="J214" s="1">
        <v>0</v>
      </c>
      <c r="K214" s="1">
        <v>0</v>
      </c>
      <c r="L214" s="1">
        <v>0</v>
      </c>
      <c r="M214" s="1">
        <v>86</v>
      </c>
      <c r="N214" s="1">
        <v>1354</v>
      </c>
      <c r="O214" s="1">
        <v>2005</v>
      </c>
      <c r="P214" s="1" t="s">
        <v>17</v>
      </c>
      <c r="Q214" t="str">
        <f>TEXT(dailyActivity_merged[[#This Row],[ActivityDate]],"dddd")</f>
        <v>Sunday</v>
      </c>
    </row>
    <row r="215" spans="1:17" x14ac:dyDescent="0.35">
      <c r="A215" s="1">
        <v>4057192912</v>
      </c>
      <c r="B215" s="2">
        <v>42457</v>
      </c>
      <c r="C215" s="1">
        <v>8</v>
      </c>
      <c r="D215" s="1">
        <v>0.01</v>
      </c>
      <c r="E215" s="1">
        <v>0.01</v>
      </c>
      <c r="F215" s="1">
        <v>0</v>
      </c>
      <c r="G215" s="1">
        <v>0</v>
      </c>
      <c r="H215" s="1">
        <v>0</v>
      </c>
      <c r="I215" s="1">
        <v>0.01</v>
      </c>
      <c r="J215" s="1">
        <v>0</v>
      </c>
      <c r="K215" s="1">
        <v>0</v>
      </c>
      <c r="L215" s="1">
        <v>0</v>
      </c>
      <c r="M215" s="1">
        <v>1</v>
      </c>
      <c r="N215" s="1">
        <v>1439</v>
      </c>
      <c r="O215" s="1">
        <v>1778</v>
      </c>
      <c r="P215" s="1" t="s">
        <v>17</v>
      </c>
      <c r="Q215" t="str">
        <f>TEXT(dailyActivity_merged[[#This Row],[ActivityDate]],"dddd")</f>
        <v>Monday</v>
      </c>
    </row>
    <row r="216" spans="1:17" x14ac:dyDescent="0.35">
      <c r="A216" s="1">
        <v>4057192912</v>
      </c>
      <c r="B216" s="2">
        <v>42458</v>
      </c>
      <c r="C216" s="1">
        <v>5137</v>
      </c>
      <c r="D216" s="1">
        <v>3.7599999899999998</v>
      </c>
      <c r="E216" s="1">
        <v>3.7599999899999998</v>
      </c>
      <c r="F216" s="1">
        <v>0</v>
      </c>
      <c r="G216" s="1">
        <v>0</v>
      </c>
      <c r="H216" s="1">
        <v>0</v>
      </c>
      <c r="I216" s="1">
        <v>3.7599999899999998</v>
      </c>
      <c r="J216" s="1">
        <v>0</v>
      </c>
      <c r="K216" s="1">
        <v>0</v>
      </c>
      <c r="L216" s="1">
        <v>0</v>
      </c>
      <c r="M216" s="1">
        <v>160</v>
      </c>
      <c r="N216" s="1">
        <v>1280</v>
      </c>
      <c r="O216" s="1">
        <v>2293</v>
      </c>
      <c r="P216" s="1" t="s">
        <v>19</v>
      </c>
      <c r="Q216" t="str">
        <f>TEXT(dailyActivity_merged[[#This Row],[ActivityDate]],"dddd")</f>
        <v>Tuesday</v>
      </c>
    </row>
    <row r="217" spans="1:17" x14ac:dyDescent="0.35">
      <c r="A217" s="1">
        <v>4057192912</v>
      </c>
      <c r="B217" s="2">
        <v>42459</v>
      </c>
      <c r="C217" s="1">
        <v>5419</v>
      </c>
      <c r="D217" s="1">
        <v>4</v>
      </c>
      <c r="E217" s="1">
        <v>4.5700001720000003</v>
      </c>
      <c r="F217" s="1">
        <v>5.5842998999999997E-2</v>
      </c>
      <c r="G217" s="1">
        <v>0</v>
      </c>
      <c r="H217" s="1">
        <v>0</v>
      </c>
      <c r="I217" s="1">
        <v>3.9100000860000002</v>
      </c>
      <c r="J217" s="1">
        <v>5.9999998999999998E-2</v>
      </c>
      <c r="K217" s="1">
        <v>0</v>
      </c>
      <c r="L217" s="1">
        <v>0</v>
      </c>
      <c r="M217" s="1">
        <v>145</v>
      </c>
      <c r="N217" s="1">
        <v>1295</v>
      </c>
      <c r="O217" s="1">
        <v>2259</v>
      </c>
      <c r="P217" s="1" t="s">
        <v>19</v>
      </c>
      <c r="Q217" t="str">
        <f>TEXT(dailyActivity_merged[[#This Row],[ActivityDate]],"dddd")</f>
        <v>Wednesday</v>
      </c>
    </row>
    <row r="218" spans="1:17" x14ac:dyDescent="0.35">
      <c r="A218" s="1">
        <v>4057192912</v>
      </c>
      <c r="B218" s="2">
        <v>42460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1440</v>
      </c>
      <c r="O218" s="1">
        <v>1776</v>
      </c>
      <c r="P218" s="1" t="s">
        <v>17</v>
      </c>
      <c r="Q218" t="str">
        <f>TEXT(dailyActivity_merged[[#This Row],[ActivityDate]],"dddd")</f>
        <v>Thursday</v>
      </c>
    </row>
    <row r="219" spans="1:17" x14ac:dyDescent="0.35">
      <c r="A219" s="1">
        <v>4057192912</v>
      </c>
      <c r="B219" s="2">
        <v>42461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1440</v>
      </c>
      <c r="O219" s="1">
        <v>1776</v>
      </c>
      <c r="P219" s="1" t="s">
        <v>17</v>
      </c>
      <c r="Q219" t="str">
        <f>TEXT(dailyActivity_merged[[#This Row],[ActivityDate]],"dddd")</f>
        <v>Friday</v>
      </c>
    </row>
    <row r="220" spans="1:17" x14ac:dyDescent="0.35">
      <c r="A220" s="1">
        <v>4057192912</v>
      </c>
      <c r="B220" s="2">
        <v>42462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1440</v>
      </c>
      <c r="O220" s="1">
        <v>1776</v>
      </c>
      <c r="P220" s="1" t="s">
        <v>17</v>
      </c>
      <c r="Q220" t="str">
        <f>TEXT(dailyActivity_merged[[#This Row],[ActivityDate]],"dddd")</f>
        <v>Saturday</v>
      </c>
    </row>
    <row r="221" spans="1:17" x14ac:dyDescent="0.35">
      <c r="A221" s="1">
        <v>4057192912</v>
      </c>
      <c r="B221" s="2">
        <v>42463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1440</v>
      </c>
      <c r="O221" s="1">
        <v>1776</v>
      </c>
      <c r="P221" s="1" t="s">
        <v>17</v>
      </c>
      <c r="Q221" t="str">
        <f>TEXT(dailyActivity_merged[[#This Row],[ActivityDate]],"dddd")</f>
        <v>Sunday</v>
      </c>
    </row>
    <row r="222" spans="1:17" x14ac:dyDescent="0.35">
      <c r="A222" s="1">
        <v>4057192912</v>
      </c>
      <c r="B222" s="2">
        <v>42464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1440</v>
      </c>
      <c r="O222" s="1">
        <v>1776</v>
      </c>
      <c r="P222" s="1" t="s">
        <v>17</v>
      </c>
      <c r="Q222" t="str">
        <f>TEXT(dailyActivity_merged[[#This Row],[ActivityDate]],"dddd")</f>
        <v>Monday</v>
      </c>
    </row>
    <row r="223" spans="1:17" x14ac:dyDescent="0.35">
      <c r="A223" s="1">
        <v>4057192912</v>
      </c>
      <c r="B223" s="2">
        <v>42465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1440</v>
      </c>
      <c r="O223" s="1">
        <v>1776</v>
      </c>
      <c r="P223" s="1" t="s">
        <v>17</v>
      </c>
      <c r="Q223" t="str">
        <f>TEXT(dailyActivity_merged[[#This Row],[ActivityDate]],"dddd")</f>
        <v>Tuesday</v>
      </c>
    </row>
    <row r="224" spans="1:17" x14ac:dyDescent="0.35">
      <c r="A224" s="1">
        <v>4057192912</v>
      </c>
      <c r="B224" s="2">
        <v>42466</v>
      </c>
      <c r="C224" s="1">
        <v>18</v>
      </c>
      <c r="D224" s="1">
        <v>0.01</v>
      </c>
      <c r="E224" s="1">
        <v>0.01</v>
      </c>
      <c r="F224" s="1">
        <v>0</v>
      </c>
      <c r="G224" s="1">
        <v>0</v>
      </c>
      <c r="H224" s="1">
        <v>0</v>
      </c>
      <c r="I224" s="1">
        <v>0.01</v>
      </c>
      <c r="J224" s="1">
        <v>0</v>
      </c>
      <c r="K224" s="1">
        <v>0</v>
      </c>
      <c r="L224" s="1">
        <v>0</v>
      </c>
      <c r="M224" s="1">
        <v>2</v>
      </c>
      <c r="N224" s="1">
        <v>1438</v>
      </c>
      <c r="O224" s="1">
        <v>1780</v>
      </c>
      <c r="P224" s="1" t="s">
        <v>17</v>
      </c>
      <c r="Q224" t="str">
        <f>TEXT(dailyActivity_merged[[#This Row],[ActivityDate]],"dddd")</f>
        <v>Wednesday</v>
      </c>
    </row>
    <row r="225" spans="1:17" x14ac:dyDescent="0.35">
      <c r="A225" s="1">
        <v>4057192912</v>
      </c>
      <c r="B225" s="2">
        <v>42467</v>
      </c>
      <c r="C225" s="1">
        <v>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1439</v>
      </c>
      <c r="O225" s="1">
        <v>1778</v>
      </c>
      <c r="P225" s="1" t="s">
        <v>17</v>
      </c>
      <c r="Q225" t="str">
        <f>TEXT(dailyActivity_merged[[#This Row],[ActivityDate]],"dddd")</f>
        <v>Thursday</v>
      </c>
    </row>
    <row r="226" spans="1:17" x14ac:dyDescent="0.35">
      <c r="A226" s="1">
        <v>4057192912</v>
      </c>
      <c r="B226" s="2">
        <v>42468</v>
      </c>
      <c r="C226" s="1">
        <v>8426</v>
      </c>
      <c r="D226" s="1">
        <v>6.1599998469999999</v>
      </c>
      <c r="E226" s="1">
        <v>6.1599998469999999</v>
      </c>
      <c r="F226" s="1">
        <v>0</v>
      </c>
      <c r="G226" s="1">
        <v>0.12999999500000001</v>
      </c>
      <c r="H226" s="1">
        <v>5.4899997709999999</v>
      </c>
      <c r="I226" s="1">
        <v>0.540000021</v>
      </c>
      <c r="J226" s="1">
        <v>0</v>
      </c>
      <c r="K226" s="1">
        <v>2</v>
      </c>
      <c r="L226" s="1">
        <v>120</v>
      </c>
      <c r="M226" s="1">
        <v>25</v>
      </c>
      <c r="N226" s="1">
        <v>1293</v>
      </c>
      <c r="O226" s="1">
        <v>2360</v>
      </c>
      <c r="P226" s="1" t="s">
        <v>18</v>
      </c>
      <c r="Q226" t="str">
        <f>TEXT(dailyActivity_merged[[#This Row],[ActivityDate]],"dddd")</f>
        <v>Friday</v>
      </c>
    </row>
    <row r="227" spans="1:17" x14ac:dyDescent="0.35">
      <c r="A227" s="1">
        <v>4057192912</v>
      </c>
      <c r="B227" s="2">
        <v>42469</v>
      </c>
      <c r="C227" s="1">
        <v>1650</v>
      </c>
      <c r="D227" s="1">
        <v>1.210000038</v>
      </c>
      <c r="E227" s="1">
        <v>1.210000038</v>
      </c>
      <c r="F227" s="1">
        <v>0</v>
      </c>
      <c r="G227" s="1">
        <v>0</v>
      </c>
      <c r="H227" s="1">
        <v>0</v>
      </c>
      <c r="I227" s="1">
        <v>1.210000038</v>
      </c>
      <c r="J227" s="1">
        <v>0</v>
      </c>
      <c r="K227" s="1">
        <v>0</v>
      </c>
      <c r="L227" s="1">
        <v>0</v>
      </c>
      <c r="M227" s="1">
        <v>60</v>
      </c>
      <c r="N227" s="1">
        <v>1380</v>
      </c>
      <c r="O227" s="1">
        <v>1952</v>
      </c>
      <c r="P227" s="1" t="s">
        <v>17</v>
      </c>
      <c r="Q227" t="str">
        <f>TEXT(dailyActivity_merged[[#This Row],[ActivityDate]],"dddd")</f>
        <v>Saturday</v>
      </c>
    </row>
    <row r="228" spans="1:17" x14ac:dyDescent="0.35">
      <c r="A228" s="1">
        <v>4057192912</v>
      </c>
      <c r="B228" s="2">
        <v>42470</v>
      </c>
      <c r="C228" s="1">
        <v>3434</v>
      </c>
      <c r="D228" s="1">
        <v>2.5099999899999998</v>
      </c>
      <c r="E228" s="1">
        <v>2.5099999899999998</v>
      </c>
      <c r="F228" s="1">
        <v>0</v>
      </c>
      <c r="G228" s="1">
        <v>7.0000000000000007E-2</v>
      </c>
      <c r="H228" s="1">
        <v>0.30000001199999998</v>
      </c>
      <c r="I228" s="1">
        <v>2.1400001049999999</v>
      </c>
      <c r="J228" s="1">
        <v>0</v>
      </c>
      <c r="K228" s="1">
        <v>1</v>
      </c>
      <c r="L228" s="1">
        <v>7</v>
      </c>
      <c r="M228" s="1">
        <v>108</v>
      </c>
      <c r="N228" s="1">
        <v>1324</v>
      </c>
      <c r="O228" s="1">
        <v>2101</v>
      </c>
      <c r="P228" s="1" t="s">
        <v>17</v>
      </c>
      <c r="Q228" t="str">
        <f>TEXT(dailyActivity_merged[[#This Row],[ActivityDate]],"dddd")</f>
        <v>Sunday</v>
      </c>
    </row>
    <row r="229" spans="1:17" x14ac:dyDescent="0.35">
      <c r="A229" s="1">
        <v>4057192912</v>
      </c>
      <c r="B229" s="2">
        <v>42471</v>
      </c>
      <c r="C229" s="1">
        <v>6801</v>
      </c>
      <c r="D229" s="1">
        <v>4.9800000190000002</v>
      </c>
      <c r="E229" s="1">
        <v>4.9800000190000002</v>
      </c>
      <c r="F229" s="1">
        <v>0</v>
      </c>
      <c r="G229" s="1">
        <v>0</v>
      </c>
      <c r="H229" s="1">
        <v>0</v>
      </c>
      <c r="I229" s="1">
        <v>4.9699997900000001</v>
      </c>
      <c r="J229" s="1">
        <v>0</v>
      </c>
      <c r="K229" s="1">
        <v>0</v>
      </c>
      <c r="L229" s="1">
        <v>0</v>
      </c>
      <c r="M229" s="1">
        <v>193</v>
      </c>
      <c r="N229" s="1">
        <v>1247</v>
      </c>
      <c r="O229" s="1">
        <v>2393</v>
      </c>
      <c r="P229" s="1" t="s">
        <v>19</v>
      </c>
      <c r="Q229" t="str">
        <f>TEXT(dailyActivity_merged[[#This Row],[ActivityDate]],"dddd")</f>
        <v>Monday</v>
      </c>
    </row>
    <row r="230" spans="1:17" x14ac:dyDescent="0.35">
      <c r="A230" s="1">
        <v>4057192912</v>
      </c>
      <c r="B230" s="2">
        <v>42472</v>
      </c>
      <c r="C230" s="1">
        <v>187</v>
      </c>
      <c r="D230" s="1">
        <v>0.14000000100000001</v>
      </c>
      <c r="E230" s="1">
        <v>0.14000000100000001</v>
      </c>
      <c r="F230" s="1">
        <v>0</v>
      </c>
      <c r="G230" s="1">
        <v>0</v>
      </c>
      <c r="H230" s="1">
        <v>0</v>
      </c>
      <c r="I230" s="1">
        <v>0.14000000100000001</v>
      </c>
      <c r="J230" s="1">
        <v>0</v>
      </c>
      <c r="K230" s="1">
        <v>0</v>
      </c>
      <c r="L230" s="1">
        <v>0</v>
      </c>
      <c r="M230" s="1">
        <v>11</v>
      </c>
      <c r="N230" s="1">
        <v>400</v>
      </c>
      <c r="O230" s="1">
        <v>538</v>
      </c>
      <c r="P230" s="1" t="s">
        <v>17</v>
      </c>
      <c r="Q230" t="str">
        <f>TEXT(dailyActivity_merged[[#This Row],[ActivityDate]],"dddd")</f>
        <v>Tuesday</v>
      </c>
    </row>
    <row r="231" spans="1:17" x14ac:dyDescent="0.35">
      <c r="A231" s="1">
        <v>4319703577</v>
      </c>
      <c r="B231" s="2">
        <v>42458</v>
      </c>
      <c r="C231" s="1">
        <v>5643</v>
      </c>
      <c r="D231" s="1">
        <v>3.789999962</v>
      </c>
      <c r="E231" s="1">
        <v>3.789999962</v>
      </c>
      <c r="F231" s="1">
        <v>0</v>
      </c>
      <c r="G231" s="1">
        <v>0.23000000400000001</v>
      </c>
      <c r="H231" s="1">
        <v>0.33000001299999998</v>
      </c>
      <c r="I231" s="1">
        <v>3.2300000190000002</v>
      </c>
      <c r="J231" s="1">
        <v>0</v>
      </c>
      <c r="K231" s="1">
        <v>3</v>
      </c>
      <c r="L231" s="1">
        <v>8</v>
      </c>
      <c r="M231" s="1">
        <v>199</v>
      </c>
      <c r="N231" s="1">
        <v>683</v>
      </c>
      <c r="O231" s="1">
        <v>1958</v>
      </c>
      <c r="P231" s="1" t="s">
        <v>19</v>
      </c>
      <c r="Q231" t="str">
        <f>TEXT(dailyActivity_merged[[#This Row],[ActivityDate]],"dddd")</f>
        <v>Tuesday</v>
      </c>
    </row>
    <row r="232" spans="1:17" x14ac:dyDescent="0.35">
      <c r="A232" s="1">
        <v>4319703577</v>
      </c>
      <c r="B232" s="2">
        <v>42459</v>
      </c>
      <c r="C232" s="1">
        <v>9043</v>
      </c>
      <c r="D232" s="1">
        <v>6.0700001720000003</v>
      </c>
      <c r="E232" s="1">
        <v>6.0700001720000003</v>
      </c>
      <c r="F232" s="1">
        <v>0</v>
      </c>
      <c r="G232" s="1">
        <v>0.25</v>
      </c>
      <c r="H232" s="1">
        <v>0.43000000700000002</v>
      </c>
      <c r="I232" s="1">
        <v>5.3699998860000004</v>
      </c>
      <c r="J232" s="1">
        <v>0</v>
      </c>
      <c r="K232" s="1">
        <v>4</v>
      </c>
      <c r="L232" s="1">
        <v>12</v>
      </c>
      <c r="M232" s="1">
        <v>244</v>
      </c>
      <c r="N232" s="1">
        <v>702</v>
      </c>
      <c r="O232" s="1">
        <v>2141</v>
      </c>
      <c r="P232" s="1" t="s">
        <v>18</v>
      </c>
      <c r="Q232" t="str">
        <f>TEXT(dailyActivity_merged[[#This Row],[ActivityDate]],"dddd")</f>
        <v>Wednesday</v>
      </c>
    </row>
    <row r="233" spans="1:17" x14ac:dyDescent="0.35">
      <c r="A233" s="1">
        <v>4319703577</v>
      </c>
      <c r="B233" s="2">
        <v>42460</v>
      </c>
      <c r="C233" s="1">
        <v>8144</v>
      </c>
      <c r="D233" s="1">
        <v>5.4600000380000004</v>
      </c>
      <c r="E233" s="1">
        <v>5.4600000380000004</v>
      </c>
      <c r="F233" s="1">
        <v>0</v>
      </c>
      <c r="G233" s="1">
        <v>0.25</v>
      </c>
      <c r="H233" s="1">
        <v>0.61000001400000003</v>
      </c>
      <c r="I233" s="1">
        <v>4.6100001339999999</v>
      </c>
      <c r="J233" s="1">
        <v>0</v>
      </c>
      <c r="K233" s="1">
        <v>4</v>
      </c>
      <c r="L233" s="1">
        <v>17</v>
      </c>
      <c r="M233" s="1">
        <v>247</v>
      </c>
      <c r="N233" s="1">
        <v>1125</v>
      </c>
      <c r="O233" s="1">
        <v>2129</v>
      </c>
      <c r="P233" s="1" t="s">
        <v>18</v>
      </c>
      <c r="Q233" t="str">
        <f>TEXT(dailyActivity_merged[[#This Row],[ActivityDate]],"dddd")</f>
        <v>Thursday</v>
      </c>
    </row>
    <row r="234" spans="1:17" x14ac:dyDescent="0.35">
      <c r="A234" s="1">
        <v>4319703577</v>
      </c>
      <c r="B234" s="2">
        <v>42461</v>
      </c>
      <c r="C234" s="1">
        <v>9343</v>
      </c>
      <c r="D234" s="1">
        <v>6.2699999809999998</v>
      </c>
      <c r="E234" s="1">
        <v>6.2699999809999998</v>
      </c>
      <c r="F234" s="1">
        <v>0</v>
      </c>
      <c r="G234" s="1">
        <v>0.959999979</v>
      </c>
      <c r="H234" s="1">
        <v>0.85000002399999997</v>
      </c>
      <c r="I234" s="1">
        <v>4.4600000380000004</v>
      </c>
      <c r="J234" s="1">
        <v>0</v>
      </c>
      <c r="K234" s="1">
        <v>14</v>
      </c>
      <c r="L234" s="1">
        <v>20</v>
      </c>
      <c r="M234" s="1">
        <v>268</v>
      </c>
      <c r="N234" s="1">
        <v>654</v>
      </c>
      <c r="O234" s="1">
        <v>2216</v>
      </c>
      <c r="P234" s="1" t="s">
        <v>18</v>
      </c>
      <c r="Q234" t="str">
        <f>TEXT(dailyActivity_merged[[#This Row],[ActivityDate]],"dddd")</f>
        <v>Friday</v>
      </c>
    </row>
    <row r="235" spans="1:17" x14ac:dyDescent="0.35">
      <c r="A235" s="1">
        <v>4319703577</v>
      </c>
      <c r="B235" s="2">
        <v>42462</v>
      </c>
      <c r="C235" s="1">
        <v>8405</v>
      </c>
      <c r="D235" s="1">
        <v>5.6599998469999999</v>
      </c>
      <c r="E235" s="1">
        <v>5.6599998469999999</v>
      </c>
      <c r="F235" s="1">
        <v>0</v>
      </c>
      <c r="G235" s="1">
        <v>1.1299999949999999</v>
      </c>
      <c r="H235" s="1">
        <v>0.189999998</v>
      </c>
      <c r="I235" s="1">
        <v>4.3400001530000001</v>
      </c>
      <c r="J235" s="1">
        <v>0</v>
      </c>
      <c r="K235" s="1">
        <v>15</v>
      </c>
      <c r="L235" s="1">
        <v>4</v>
      </c>
      <c r="M235" s="1">
        <v>257</v>
      </c>
      <c r="N235" s="1">
        <v>621</v>
      </c>
      <c r="O235" s="1">
        <v>2154</v>
      </c>
      <c r="P235" s="1" t="s">
        <v>18</v>
      </c>
      <c r="Q235" t="str">
        <f>TEXT(dailyActivity_merged[[#This Row],[ActivityDate]],"dddd")</f>
        <v>Saturday</v>
      </c>
    </row>
    <row r="236" spans="1:17" x14ac:dyDescent="0.35">
      <c r="A236" s="1">
        <v>4319703577</v>
      </c>
      <c r="B236" s="2">
        <v>42463</v>
      </c>
      <c r="C236" s="1">
        <v>8223</v>
      </c>
      <c r="D236" s="1">
        <v>5.5199999809999998</v>
      </c>
      <c r="E236" s="1">
        <v>5.5199999809999998</v>
      </c>
      <c r="F236" s="1">
        <v>0</v>
      </c>
      <c r="G236" s="1">
        <v>0.80000001200000004</v>
      </c>
      <c r="H236" s="1">
        <v>1.5099999900000001</v>
      </c>
      <c r="I236" s="1">
        <v>3.210000038</v>
      </c>
      <c r="J236" s="1">
        <v>0</v>
      </c>
      <c r="K236" s="1">
        <v>12</v>
      </c>
      <c r="L236" s="1">
        <v>37</v>
      </c>
      <c r="M236" s="1">
        <v>257</v>
      </c>
      <c r="N236" s="1">
        <v>551</v>
      </c>
      <c r="O236" s="1">
        <v>2178</v>
      </c>
      <c r="P236" s="1" t="s">
        <v>18</v>
      </c>
      <c r="Q236" t="str">
        <f>TEXT(dailyActivity_merged[[#This Row],[ActivityDate]],"dddd")</f>
        <v>Sunday</v>
      </c>
    </row>
    <row r="237" spans="1:17" x14ac:dyDescent="0.35">
      <c r="A237" s="1">
        <v>4319703577</v>
      </c>
      <c r="B237" s="2">
        <v>42464</v>
      </c>
      <c r="C237" s="1">
        <v>10067</v>
      </c>
      <c r="D237" s="1">
        <v>6.7600002290000001</v>
      </c>
      <c r="E237" s="1">
        <v>6.7600002290000001</v>
      </c>
      <c r="F237" s="1">
        <v>0</v>
      </c>
      <c r="G237" s="1">
        <v>0.36000001399999998</v>
      </c>
      <c r="H237" s="1">
        <v>1.4199999569999999</v>
      </c>
      <c r="I237" s="1">
        <v>4.9699997900000001</v>
      </c>
      <c r="J237" s="1">
        <v>0</v>
      </c>
      <c r="K237" s="1">
        <v>5</v>
      </c>
      <c r="L237" s="1">
        <v>39</v>
      </c>
      <c r="M237" s="1">
        <v>313</v>
      </c>
      <c r="N237" s="1">
        <v>578</v>
      </c>
      <c r="O237" s="1">
        <v>2308</v>
      </c>
      <c r="P237" s="1" t="s">
        <v>16</v>
      </c>
      <c r="Q237" t="str">
        <f>TEXT(dailyActivity_merged[[#This Row],[ActivityDate]],"dddd")</f>
        <v>Monday</v>
      </c>
    </row>
    <row r="238" spans="1:17" x14ac:dyDescent="0.35">
      <c r="A238" s="1">
        <v>4319703577</v>
      </c>
      <c r="B238" s="2">
        <v>42465</v>
      </c>
      <c r="C238" s="1">
        <v>8359</v>
      </c>
      <c r="D238" s="1">
        <v>5.6300001139999996</v>
      </c>
      <c r="E238" s="1">
        <v>5.6300001139999996</v>
      </c>
      <c r="F238" s="1">
        <v>0</v>
      </c>
      <c r="G238" s="1">
        <v>0.23000000400000001</v>
      </c>
      <c r="H238" s="1">
        <v>0.52999997099999996</v>
      </c>
      <c r="I238" s="1">
        <v>4.8699998860000004</v>
      </c>
      <c r="J238" s="1">
        <v>0</v>
      </c>
      <c r="K238" s="1">
        <v>3</v>
      </c>
      <c r="L238" s="1">
        <v>14</v>
      </c>
      <c r="M238" s="1">
        <v>311</v>
      </c>
      <c r="N238" s="1">
        <v>638</v>
      </c>
      <c r="O238" s="1">
        <v>2201</v>
      </c>
      <c r="P238" s="1" t="s">
        <v>18</v>
      </c>
      <c r="Q238" t="str">
        <f>TEXT(dailyActivity_merged[[#This Row],[ActivityDate]],"dddd")</f>
        <v>Tuesday</v>
      </c>
    </row>
    <row r="239" spans="1:17" x14ac:dyDescent="0.35">
      <c r="A239" s="1">
        <v>4319703577</v>
      </c>
      <c r="B239" s="2">
        <v>42466</v>
      </c>
      <c r="C239" s="1">
        <v>10946</v>
      </c>
      <c r="D239" s="1">
        <v>7.3499999049999998</v>
      </c>
      <c r="E239" s="1">
        <v>7.3499999049999998</v>
      </c>
      <c r="F239" s="1">
        <v>0</v>
      </c>
      <c r="G239" s="1">
        <v>0.540000021</v>
      </c>
      <c r="H239" s="1">
        <v>2.0899999139999998</v>
      </c>
      <c r="I239" s="1">
        <v>4.7199997900000001</v>
      </c>
      <c r="J239" s="1">
        <v>0</v>
      </c>
      <c r="K239" s="1">
        <v>8</v>
      </c>
      <c r="L239" s="1">
        <v>51</v>
      </c>
      <c r="M239" s="1">
        <v>308</v>
      </c>
      <c r="N239" s="1">
        <v>569</v>
      </c>
      <c r="O239" s="1">
        <v>2341</v>
      </c>
      <c r="P239" s="1" t="s">
        <v>16</v>
      </c>
      <c r="Q239" t="str">
        <f>TEXT(dailyActivity_merged[[#This Row],[ActivityDate]],"dddd")</f>
        <v>Wednesday</v>
      </c>
    </row>
    <row r="240" spans="1:17" x14ac:dyDescent="0.35">
      <c r="A240" s="1">
        <v>4319703577</v>
      </c>
      <c r="B240" s="2">
        <v>42467</v>
      </c>
      <c r="C240" s="1">
        <v>9130</v>
      </c>
      <c r="D240" s="1">
        <v>6.1500000950000002</v>
      </c>
      <c r="E240" s="1">
        <v>6.1500000950000002</v>
      </c>
      <c r="F240" s="1">
        <v>0</v>
      </c>
      <c r="G240" s="1">
        <v>0.5</v>
      </c>
      <c r="H240" s="1">
        <v>0.37999999499999998</v>
      </c>
      <c r="I240" s="1">
        <v>5.2699999809999998</v>
      </c>
      <c r="J240" s="1">
        <v>0</v>
      </c>
      <c r="K240" s="1">
        <v>7</v>
      </c>
      <c r="L240" s="1">
        <v>11</v>
      </c>
      <c r="M240" s="1">
        <v>304</v>
      </c>
      <c r="N240" s="1">
        <v>668</v>
      </c>
      <c r="O240" s="1">
        <v>2236</v>
      </c>
      <c r="P240" s="1" t="s">
        <v>18</v>
      </c>
      <c r="Q240" t="str">
        <f>TEXT(dailyActivity_merged[[#This Row],[ActivityDate]],"dddd")</f>
        <v>Thursday</v>
      </c>
    </row>
    <row r="241" spans="1:17" x14ac:dyDescent="0.35">
      <c r="A241" s="1">
        <v>4319703577</v>
      </c>
      <c r="B241" s="2">
        <v>42468</v>
      </c>
      <c r="C241" s="1">
        <v>6544</v>
      </c>
      <c r="D241" s="1">
        <v>4.4099998469999999</v>
      </c>
      <c r="E241" s="1">
        <v>4.4099998469999999</v>
      </c>
      <c r="F241" s="1">
        <v>0</v>
      </c>
      <c r="G241" s="1">
        <v>0.28999999199999998</v>
      </c>
      <c r="H241" s="1">
        <v>0.25999999000000001</v>
      </c>
      <c r="I241" s="1">
        <v>3.8599998950000001</v>
      </c>
      <c r="J241" s="1">
        <v>0</v>
      </c>
      <c r="K241" s="1">
        <v>4</v>
      </c>
      <c r="L241" s="1">
        <v>6</v>
      </c>
      <c r="M241" s="1">
        <v>276</v>
      </c>
      <c r="N241" s="1">
        <v>1132</v>
      </c>
      <c r="O241" s="1">
        <v>2069</v>
      </c>
      <c r="P241" s="1" t="s">
        <v>19</v>
      </c>
      <c r="Q241" t="str">
        <f>TEXT(dailyActivity_merged[[#This Row],[ActivityDate]],"dddd")</f>
        <v>Friday</v>
      </c>
    </row>
    <row r="242" spans="1:17" x14ac:dyDescent="0.35">
      <c r="A242" s="1">
        <v>4319703577</v>
      </c>
      <c r="B242" s="2">
        <v>42469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1440</v>
      </c>
      <c r="O242" s="1">
        <v>0</v>
      </c>
      <c r="P242" s="1" t="s">
        <v>17</v>
      </c>
      <c r="Q242" t="str">
        <f>TEXT(dailyActivity_merged[[#This Row],[ActivityDate]],"dddd")</f>
        <v>Saturday</v>
      </c>
    </row>
    <row r="243" spans="1:17" x14ac:dyDescent="0.35">
      <c r="A243" s="1">
        <v>4388161847</v>
      </c>
      <c r="B243" s="2">
        <v>42458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1440</v>
      </c>
      <c r="O243" s="1">
        <v>1878</v>
      </c>
      <c r="P243" s="1" t="s">
        <v>17</v>
      </c>
      <c r="Q243" t="str">
        <f>TEXT(dailyActivity_merged[[#This Row],[ActivityDate]],"dddd")</f>
        <v>Tuesday</v>
      </c>
    </row>
    <row r="244" spans="1:17" x14ac:dyDescent="0.35">
      <c r="A244" s="1">
        <v>4388161847</v>
      </c>
      <c r="B244" s="2">
        <v>42459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1440</v>
      </c>
      <c r="O244" s="1">
        <v>1878</v>
      </c>
      <c r="P244" s="1" t="s">
        <v>17</v>
      </c>
      <c r="Q244" t="str">
        <f>TEXT(dailyActivity_merged[[#This Row],[ActivityDate]],"dddd")</f>
        <v>Wednesday</v>
      </c>
    </row>
    <row r="245" spans="1:17" x14ac:dyDescent="0.35">
      <c r="A245" s="1">
        <v>4388161847</v>
      </c>
      <c r="B245" s="2">
        <v>42460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1440</v>
      </c>
      <c r="O245" s="1">
        <v>1878</v>
      </c>
      <c r="P245" s="1" t="s">
        <v>17</v>
      </c>
      <c r="Q245" t="str">
        <f>TEXT(dailyActivity_merged[[#This Row],[ActivityDate]],"dddd")</f>
        <v>Thursday</v>
      </c>
    </row>
    <row r="246" spans="1:17" x14ac:dyDescent="0.35">
      <c r="A246" s="1">
        <v>4388161847</v>
      </c>
      <c r="B246" s="2">
        <v>42461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1440</v>
      </c>
      <c r="O246" s="1">
        <v>1878</v>
      </c>
      <c r="P246" s="1" t="s">
        <v>17</v>
      </c>
      <c r="Q246" t="str">
        <f>TEXT(dailyActivity_merged[[#This Row],[ActivityDate]],"dddd")</f>
        <v>Friday</v>
      </c>
    </row>
    <row r="247" spans="1:17" x14ac:dyDescent="0.35">
      <c r="A247" s="1">
        <v>4388161847</v>
      </c>
      <c r="B247" s="2">
        <v>42462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1440</v>
      </c>
      <c r="O247" s="1">
        <v>1878</v>
      </c>
      <c r="P247" s="1" t="s">
        <v>17</v>
      </c>
      <c r="Q247" t="str">
        <f>TEXT(dailyActivity_merged[[#This Row],[ActivityDate]],"dddd")</f>
        <v>Saturday</v>
      </c>
    </row>
    <row r="248" spans="1:17" x14ac:dyDescent="0.35">
      <c r="A248" s="1">
        <v>4388161847</v>
      </c>
      <c r="B248" s="2">
        <v>42463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1440</v>
      </c>
      <c r="O248" s="1">
        <v>1878</v>
      </c>
      <c r="P248" s="1" t="s">
        <v>17</v>
      </c>
      <c r="Q248" t="str">
        <f>TEXT(dailyActivity_merged[[#This Row],[ActivityDate]],"dddd")</f>
        <v>Sunday</v>
      </c>
    </row>
    <row r="249" spans="1:17" x14ac:dyDescent="0.35">
      <c r="A249" s="1">
        <v>4388161847</v>
      </c>
      <c r="B249" s="2">
        <v>42464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1440</v>
      </c>
      <c r="O249" s="1">
        <v>1878</v>
      </c>
      <c r="P249" s="1" t="s">
        <v>17</v>
      </c>
      <c r="Q249" t="str">
        <f>TEXT(dailyActivity_merged[[#This Row],[ActivityDate]],"dddd")</f>
        <v>Monday</v>
      </c>
    </row>
    <row r="250" spans="1:17" x14ac:dyDescent="0.35">
      <c r="A250" s="1">
        <v>4388161847</v>
      </c>
      <c r="B250" s="2">
        <v>42465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994</v>
      </c>
      <c r="O250" s="1">
        <v>1296</v>
      </c>
      <c r="P250" s="1" t="s">
        <v>17</v>
      </c>
      <c r="Q250" t="str">
        <f>TEXT(dailyActivity_merged[[#This Row],[ActivityDate]],"dddd")</f>
        <v>Tuesday</v>
      </c>
    </row>
    <row r="251" spans="1:17" x14ac:dyDescent="0.35">
      <c r="A251" s="1">
        <v>4445114986</v>
      </c>
      <c r="B251" s="2">
        <v>42458</v>
      </c>
      <c r="C251" s="1">
        <v>2303</v>
      </c>
      <c r="D251" s="1">
        <v>1.5499999520000001</v>
      </c>
      <c r="E251" s="1">
        <v>1.5499999520000001</v>
      </c>
      <c r="F251" s="1">
        <v>0</v>
      </c>
      <c r="G251" s="1">
        <v>0</v>
      </c>
      <c r="H251" s="1">
        <v>0</v>
      </c>
      <c r="I251" s="1">
        <v>1.5499999520000001</v>
      </c>
      <c r="J251" s="1">
        <v>0</v>
      </c>
      <c r="K251" s="1">
        <v>0</v>
      </c>
      <c r="L251" s="1">
        <v>0</v>
      </c>
      <c r="M251" s="1">
        <v>155</v>
      </c>
      <c r="N251" s="1">
        <v>807</v>
      </c>
      <c r="O251" s="1">
        <v>2010</v>
      </c>
      <c r="P251" s="1" t="s">
        <v>17</v>
      </c>
      <c r="Q251" t="str">
        <f>TEXT(dailyActivity_merged[[#This Row],[ActivityDate]],"dddd")</f>
        <v>Tuesday</v>
      </c>
    </row>
    <row r="252" spans="1:17" x14ac:dyDescent="0.35">
      <c r="A252" s="1">
        <v>4445114986</v>
      </c>
      <c r="B252" s="2">
        <v>42459</v>
      </c>
      <c r="C252" s="1">
        <v>2600</v>
      </c>
      <c r="D252" s="1">
        <v>1.7400000099999999</v>
      </c>
      <c r="E252" s="1">
        <v>1.7400000099999999</v>
      </c>
      <c r="F252" s="1">
        <v>0</v>
      </c>
      <c r="G252" s="1">
        <v>0</v>
      </c>
      <c r="H252" s="1">
        <v>0</v>
      </c>
      <c r="I252" s="1">
        <v>1.7400000099999999</v>
      </c>
      <c r="J252" s="1">
        <v>0</v>
      </c>
      <c r="K252" s="1">
        <v>0</v>
      </c>
      <c r="L252" s="1">
        <v>0</v>
      </c>
      <c r="M252" s="1">
        <v>163</v>
      </c>
      <c r="N252" s="1">
        <v>1277</v>
      </c>
      <c r="O252" s="1">
        <v>2032</v>
      </c>
      <c r="P252" s="1" t="s">
        <v>17</v>
      </c>
      <c r="Q252" t="str">
        <f>TEXT(dailyActivity_merged[[#This Row],[ActivityDate]],"dddd")</f>
        <v>Wednesday</v>
      </c>
    </row>
    <row r="253" spans="1:17" x14ac:dyDescent="0.35">
      <c r="A253" s="1">
        <v>4445114986</v>
      </c>
      <c r="B253" s="2">
        <v>42460</v>
      </c>
      <c r="C253" s="1">
        <v>4804</v>
      </c>
      <c r="D253" s="1">
        <v>3.2200000289999999</v>
      </c>
      <c r="E253" s="1">
        <v>3.2200000289999999</v>
      </c>
      <c r="F253" s="1">
        <v>0</v>
      </c>
      <c r="G253" s="1">
        <v>0</v>
      </c>
      <c r="H253" s="1">
        <v>0</v>
      </c>
      <c r="I253" s="1">
        <v>3.2200000289999999</v>
      </c>
      <c r="J253" s="1">
        <v>0</v>
      </c>
      <c r="K253" s="1">
        <v>0</v>
      </c>
      <c r="L253" s="1">
        <v>0</v>
      </c>
      <c r="M253" s="1">
        <v>238</v>
      </c>
      <c r="N253" s="1">
        <v>786</v>
      </c>
      <c r="O253" s="1">
        <v>2227</v>
      </c>
      <c r="P253" s="1" t="s">
        <v>17</v>
      </c>
      <c r="Q253" t="str">
        <f>TEXT(dailyActivity_merged[[#This Row],[ActivityDate]],"dddd")</f>
        <v>Thursday</v>
      </c>
    </row>
    <row r="254" spans="1:17" x14ac:dyDescent="0.35">
      <c r="A254" s="1">
        <v>4445114986</v>
      </c>
      <c r="B254" s="2">
        <v>42461</v>
      </c>
      <c r="C254" s="1">
        <v>3271</v>
      </c>
      <c r="D254" s="1">
        <v>2.1900000569999998</v>
      </c>
      <c r="E254" s="1">
        <v>2.1900000569999998</v>
      </c>
      <c r="F254" s="1">
        <v>0</v>
      </c>
      <c r="G254" s="1">
        <v>0</v>
      </c>
      <c r="H254" s="1">
        <v>0</v>
      </c>
      <c r="I254" s="1">
        <v>2.1900000569999998</v>
      </c>
      <c r="J254" s="1">
        <v>0</v>
      </c>
      <c r="K254" s="1">
        <v>0</v>
      </c>
      <c r="L254" s="1">
        <v>0</v>
      </c>
      <c r="M254" s="1">
        <v>205</v>
      </c>
      <c r="N254" s="1">
        <v>898</v>
      </c>
      <c r="O254" s="1">
        <v>2133</v>
      </c>
      <c r="P254" s="1" t="s">
        <v>17</v>
      </c>
      <c r="Q254" t="str">
        <f>TEXT(dailyActivity_merged[[#This Row],[ActivityDate]],"dddd")</f>
        <v>Friday</v>
      </c>
    </row>
    <row r="255" spans="1:17" x14ac:dyDescent="0.35">
      <c r="A255" s="1">
        <v>4445114986</v>
      </c>
      <c r="B255" s="2">
        <v>42462</v>
      </c>
      <c r="C255" s="1">
        <v>5406</v>
      </c>
      <c r="D255" s="1">
        <v>3.630000114</v>
      </c>
      <c r="E255" s="1">
        <v>3.630000114</v>
      </c>
      <c r="F255" s="1">
        <v>0</v>
      </c>
      <c r="G255" s="1">
        <v>0</v>
      </c>
      <c r="H255" s="1">
        <v>0</v>
      </c>
      <c r="I255" s="1">
        <v>3.6099998950000001</v>
      </c>
      <c r="J255" s="1">
        <v>0</v>
      </c>
      <c r="K255" s="1">
        <v>0</v>
      </c>
      <c r="L255" s="1">
        <v>0</v>
      </c>
      <c r="M255" s="1">
        <v>273</v>
      </c>
      <c r="N255" s="1">
        <v>672</v>
      </c>
      <c r="O255" s="1">
        <v>2317</v>
      </c>
      <c r="P255" s="1" t="s">
        <v>19</v>
      </c>
      <c r="Q255" t="str">
        <f>TEXT(dailyActivity_merged[[#This Row],[ActivityDate]],"dddd")</f>
        <v>Saturday</v>
      </c>
    </row>
    <row r="256" spans="1:17" x14ac:dyDescent="0.35">
      <c r="A256" s="1">
        <v>4445114986</v>
      </c>
      <c r="B256" s="2">
        <v>42463</v>
      </c>
      <c r="C256" s="1">
        <v>3146</v>
      </c>
      <c r="D256" s="1">
        <v>2.1099998950000001</v>
      </c>
      <c r="E256" s="1">
        <v>2.1099998950000001</v>
      </c>
      <c r="F256" s="1">
        <v>0</v>
      </c>
      <c r="G256" s="1">
        <v>0</v>
      </c>
      <c r="H256" s="1">
        <v>0</v>
      </c>
      <c r="I256" s="1">
        <v>2.1099998950000001</v>
      </c>
      <c r="J256" s="1">
        <v>0</v>
      </c>
      <c r="K256" s="1">
        <v>0</v>
      </c>
      <c r="L256" s="1">
        <v>0</v>
      </c>
      <c r="M256" s="1">
        <v>171</v>
      </c>
      <c r="N256" s="1">
        <v>1269</v>
      </c>
      <c r="O256" s="1">
        <v>2058</v>
      </c>
      <c r="P256" s="1" t="s">
        <v>17</v>
      </c>
      <c r="Q256" t="str">
        <f>TEXT(dailyActivity_merged[[#This Row],[ActivityDate]],"dddd")</f>
        <v>Sunday</v>
      </c>
    </row>
    <row r="257" spans="1:17" x14ac:dyDescent="0.35">
      <c r="A257" s="1">
        <v>4445114986</v>
      </c>
      <c r="B257" s="2">
        <v>42464</v>
      </c>
      <c r="C257" s="1">
        <v>2422</v>
      </c>
      <c r="D257" s="1">
        <v>1.6299999949999999</v>
      </c>
      <c r="E257" s="1">
        <v>1.6299999949999999</v>
      </c>
      <c r="F257" s="1">
        <v>0</v>
      </c>
      <c r="G257" s="1">
        <v>0</v>
      </c>
      <c r="H257" s="1">
        <v>0</v>
      </c>
      <c r="I257" s="1">
        <v>1.6299999949999999</v>
      </c>
      <c r="J257" s="1">
        <v>0</v>
      </c>
      <c r="K257" s="1">
        <v>0</v>
      </c>
      <c r="L257" s="1">
        <v>0</v>
      </c>
      <c r="M257" s="1">
        <v>110</v>
      </c>
      <c r="N257" s="1">
        <v>1330</v>
      </c>
      <c r="O257" s="1">
        <v>1935</v>
      </c>
      <c r="P257" s="1" t="s">
        <v>17</v>
      </c>
      <c r="Q257" t="str">
        <f>TEXT(dailyActivity_merged[[#This Row],[ActivityDate]],"dddd")</f>
        <v>Monday</v>
      </c>
    </row>
    <row r="258" spans="1:17" x14ac:dyDescent="0.35">
      <c r="A258" s="1">
        <v>4445114986</v>
      </c>
      <c r="B258" s="2">
        <v>42465</v>
      </c>
      <c r="C258" s="1">
        <v>4239</v>
      </c>
      <c r="D258" s="1">
        <v>2.8399999139999998</v>
      </c>
      <c r="E258" s="1">
        <v>2.8399999139999998</v>
      </c>
      <c r="F258" s="1">
        <v>0</v>
      </c>
      <c r="G258" s="1">
        <v>5.9999998999999998E-2</v>
      </c>
      <c r="H258" s="1">
        <v>0.23999999499999999</v>
      </c>
      <c r="I258" s="1">
        <v>2.5299999710000001</v>
      </c>
      <c r="J258" s="1">
        <v>0</v>
      </c>
      <c r="K258" s="1">
        <v>1</v>
      </c>
      <c r="L258" s="1">
        <v>6</v>
      </c>
      <c r="M258" s="1">
        <v>235</v>
      </c>
      <c r="N258" s="1">
        <v>702</v>
      </c>
      <c r="O258" s="1">
        <v>2217</v>
      </c>
      <c r="P258" s="1" t="s">
        <v>17</v>
      </c>
      <c r="Q258" t="str">
        <f>TEXT(dailyActivity_merged[[#This Row],[ActivityDate]],"dddd")</f>
        <v>Tuesday</v>
      </c>
    </row>
    <row r="259" spans="1:17" x14ac:dyDescent="0.35">
      <c r="A259" s="1">
        <v>4445114986</v>
      </c>
      <c r="B259" s="2">
        <v>42466</v>
      </c>
      <c r="C259" s="1">
        <v>6911</v>
      </c>
      <c r="D259" s="1">
        <v>4.7800002099999999</v>
      </c>
      <c r="E259" s="1">
        <v>4.7800002099999999</v>
      </c>
      <c r="F259" s="1">
        <v>0</v>
      </c>
      <c r="G259" s="1">
        <v>2.3199999330000001</v>
      </c>
      <c r="H259" s="1">
        <v>0.10000000100000001</v>
      </c>
      <c r="I259" s="1">
        <v>2.3599998950000001</v>
      </c>
      <c r="J259" s="1">
        <v>0</v>
      </c>
      <c r="K259" s="1">
        <v>28</v>
      </c>
      <c r="L259" s="1">
        <v>2</v>
      </c>
      <c r="M259" s="1">
        <v>215</v>
      </c>
      <c r="N259" s="1">
        <v>745</v>
      </c>
      <c r="O259" s="1">
        <v>2374</v>
      </c>
      <c r="P259" s="1" t="s">
        <v>19</v>
      </c>
      <c r="Q259" t="str">
        <f>TEXT(dailyActivity_merged[[#This Row],[ActivityDate]],"dddd")</f>
        <v>Wednesday</v>
      </c>
    </row>
    <row r="260" spans="1:17" x14ac:dyDescent="0.35">
      <c r="A260" s="1">
        <v>4445114986</v>
      </c>
      <c r="B260" s="2">
        <v>42467</v>
      </c>
      <c r="C260" s="1">
        <v>6667</v>
      </c>
      <c r="D260" s="1">
        <v>4.6100001339999999</v>
      </c>
      <c r="E260" s="1">
        <v>4.6100001339999999</v>
      </c>
      <c r="F260" s="1">
        <v>0</v>
      </c>
      <c r="G260" s="1">
        <v>2.0199999809999998</v>
      </c>
      <c r="H260" s="1">
        <v>5.0000001000000002E-2</v>
      </c>
      <c r="I260" s="1">
        <v>2.5499999519999998</v>
      </c>
      <c r="J260" s="1">
        <v>0</v>
      </c>
      <c r="K260" s="1">
        <v>24</v>
      </c>
      <c r="L260" s="1">
        <v>1</v>
      </c>
      <c r="M260" s="1">
        <v>208</v>
      </c>
      <c r="N260" s="1">
        <v>939</v>
      </c>
      <c r="O260" s="1">
        <v>2335</v>
      </c>
      <c r="P260" s="1" t="s">
        <v>19</v>
      </c>
      <c r="Q260" t="str">
        <f>TEXT(dailyActivity_merged[[#This Row],[ActivityDate]],"dddd")</f>
        <v>Thursday</v>
      </c>
    </row>
    <row r="261" spans="1:17" x14ac:dyDescent="0.35">
      <c r="A261" s="1">
        <v>4445114986</v>
      </c>
      <c r="B261" s="2">
        <v>42468</v>
      </c>
      <c r="C261" s="1">
        <v>5543</v>
      </c>
      <c r="D261" s="1">
        <v>3.7200000289999999</v>
      </c>
      <c r="E261" s="1">
        <v>3.7200000289999999</v>
      </c>
      <c r="F261" s="1">
        <v>0</v>
      </c>
      <c r="G261" s="1">
        <v>0</v>
      </c>
      <c r="H261" s="1">
        <v>0</v>
      </c>
      <c r="I261" s="1">
        <v>3.7200000289999999</v>
      </c>
      <c r="J261" s="1">
        <v>0</v>
      </c>
      <c r="K261" s="1">
        <v>0</v>
      </c>
      <c r="L261" s="1">
        <v>0</v>
      </c>
      <c r="M261" s="1">
        <v>266</v>
      </c>
      <c r="N261" s="1">
        <v>941</v>
      </c>
      <c r="O261" s="1">
        <v>2303</v>
      </c>
      <c r="P261" s="1" t="s">
        <v>19</v>
      </c>
      <c r="Q261" t="str">
        <f>TEXT(dailyActivity_merged[[#This Row],[ActivityDate]],"dddd")</f>
        <v>Friday</v>
      </c>
    </row>
    <row r="262" spans="1:17" x14ac:dyDescent="0.35">
      <c r="A262" s="1">
        <v>4445114986</v>
      </c>
      <c r="B262" s="2">
        <v>42469</v>
      </c>
      <c r="C262" s="1">
        <v>4195</v>
      </c>
      <c r="D262" s="1">
        <v>2.8099999430000002</v>
      </c>
      <c r="E262" s="1">
        <v>2.8099999430000002</v>
      </c>
      <c r="F262" s="1">
        <v>0</v>
      </c>
      <c r="G262" s="1">
        <v>0</v>
      </c>
      <c r="H262" s="1">
        <v>0</v>
      </c>
      <c r="I262" s="1">
        <v>2.8099999430000002</v>
      </c>
      <c r="J262" s="1">
        <v>0</v>
      </c>
      <c r="K262" s="1">
        <v>0</v>
      </c>
      <c r="L262" s="1">
        <v>0</v>
      </c>
      <c r="M262" s="1">
        <v>239</v>
      </c>
      <c r="N262" s="1">
        <v>758</v>
      </c>
      <c r="O262" s="1">
        <v>2210</v>
      </c>
      <c r="P262" s="1" t="s">
        <v>17</v>
      </c>
      <c r="Q262" t="str">
        <f>TEXT(dailyActivity_merged[[#This Row],[ActivityDate]],"dddd")</f>
        <v>Saturday</v>
      </c>
    </row>
    <row r="263" spans="1:17" x14ac:dyDescent="0.35">
      <c r="A263" s="1">
        <v>4445114986</v>
      </c>
      <c r="B263" s="2">
        <v>42470</v>
      </c>
      <c r="C263" s="1">
        <v>6625</v>
      </c>
      <c r="D263" s="1">
        <v>4.4499998090000004</v>
      </c>
      <c r="E263" s="1">
        <v>4.4499998090000004</v>
      </c>
      <c r="F263" s="1">
        <v>0</v>
      </c>
      <c r="G263" s="1">
        <v>0</v>
      </c>
      <c r="H263" s="1">
        <v>0</v>
      </c>
      <c r="I263" s="1">
        <v>4.4499998090000004</v>
      </c>
      <c r="J263" s="1">
        <v>0</v>
      </c>
      <c r="K263" s="1">
        <v>0</v>
      </c>
      <c r="L263" s="1">
        <v>0</v>
      </c>
      <c r="M263" s="1">
        <v>316</v>
      </c>
      <c r="N263" s="1">
        <v>755</v>
      </c>
      <c r="O263" s="1">
        <v>2424</v>
      </c>
      <c r="P263" s="1" t="s">
        <v>19</v>
      </c>
      <c r="Q263" t="str">
        <f>TEXT(dailyActivity_merged[[#This Row],[ActivityDate]],"dddd")</f>
        <v>Sunday</v>
      </c>
    </row>
    <row r="264" spans="1:17" x14ac:dyDescent="0.35">
      <c r="A264" s="1">
        <v>4445114986</v>
      </c>
      <c r="B264" s="2">
        <v>42471</v>
      </c>
      <c r="C264" s="1">
        <v>5986</v>
      </c>
      <c r="D264" s="1">
        <v>4.1300001139999996</v>
      </c>
      <c r="E264" s="1">
        <v>4.1300001139999996</v>
      </c>
      <c r="F264" s="1">
        <v>0</v>
      </c>
      <c r="G264" s="1">
        <v>1.9500000479999999</v>
      </c>
      <c r="H264" s="1">
        <v>0.23000000400000001</v>
      </c>
      <c r="I264" s="1">
        <v>1.9500000479999999</v>
      </c>
      <c r="J264" s="1">
        <v>0</v>
      </c>
      <c r="K264" s="1">
        <v>23</v>
      </c>
      <c r="L264" s="1">
        <v>5</v>
      </c>
      <c r="M264" s="1">
        <v>195</v>
      </c>
      <c r="N264" s="1">
        <v>789</v>
      </c>
      <c r="O264" s="1">
        <v>2297</v>
      </c>
      <c r="P264" s="1" t="s">
        <v>19</v>
      </c>
      <c r="Q264" t="str">
        <f>TEXT(dailyActivity_merged[[#This Row],[ActivityDate]],"dddd")</f>
        <v>Monday</v>
      </c>
    </row>
    <row r="265" spans="1:17" x14ac:dyDescent="0.35">
      <c r="A265" s="1">
        <v>4445114986</v>
      </c>
      <c r="B265" s="2">
        <v>42472</v>
      </c>
      <c r="C265" s="1">
        <v>278</v>
      </c>
      <c r="D265" s="1">
        <v>0.189999998</v>
      </c>
      <c r="E265" s="1">
        <v>0.189999998</v>
      </c>
      <c r="F265" s="1">
        <v>0</v>
      </c>
      <c r="G265" s="1">
        <v>0</v>
      </c>
      <c r="H265" s="1">
        <v>0</v>
      </c>
      <c r="I265" s="1">
        <v>0.189999998</v>
      </c>
      <c r="J265" s="1">
        <v>0</v>
      </c>
      <c r="K265" s="1">
        <v>0</v>
      </c>
      <c r="L265" s="1">
        <v>0</v>
      </c>
      <c r="M265" s="1">
        <v>20</v>
      </c>
      <c r="N265" s="1">
        <v>253</v>
      </c>
      <c r="O265" s="1">
        <v>745</v>
      </c>
      <c r="P265" s="1" t="s">
        <v>17</v>
      </c>
      <c r="Q265" t="str">
        <f>TEXT(dailyActivity_merged[[#This Row],[ActivityDate]],"dddd")</f>
        <v>Tuesday</v>
      </c>
    </row>
    <row r="266" spans="1:17" x14ac:dyDescent="0.35">
      <c r="A266" s="1">
        <v>4558609924</v>
      </c>
      <c r="B266" s="2">
        <v>42461</v>
      </c>
      <c r="C266" s="1">
        <v>5336</v>
      </c>
      <c r="D266" s="1">
        <v>3.5299999710000001</v>
      </c>
      <c r="E266" s="1">
        <v>3.5299999710000001</v>
      </c>
      <c r="F266" s="1">
        <v>0</v>
      </c>
      <c r="G266" s="1">
        <v>0</v>
      </c>
      <c r="H266" s="1">
        <v>0</v>
      </c>
      <c r="I266" s="1">
        <v>3.5299999710000001</v>
      </c>
      <c r="J266" s="1">
        <v>0</v>
      </c>
      <c r="K266" s="1">
        <v>0</v>
      </c>
      <c r="L266" s="1">
        <v>0</v>
      </c>
      <c r="M266" s="1">
        <v>258</v>
      </c>
      <c r="N266" s="1">
        <v>1182</v>
      </c>
      <c r="O266" s="1">
        <v>1902</v>
      </c>
      <c r="P266" s="1" t="s">
        <v>19</v>
      </c>
      <c r="Q266" t="str">
        <f>TEXT(dailyActivity_merged[[#This Row],[ActivityDate]],"dddd")</f>
        <v>Friday</v>
      </c>
    </row>
    <row r="267" spans="1:17" x14ac:dyDescent="0.35">
      <c r="A267" s="1">
        <v>4558609924</v>
      </c>
      <c r="B267" s="2">
        <v>42462</v>
      </c>
      <c r="C267" s="1">
        <v>3183</v>
      </c>
      <c r="D267" s="1">
        <v>2.0999999049999998</v>
      </c>
      <c r="E267" s="1">
        <v>2.0999999049999998</v>
      </c>
      <c r="F267" s="1">
        <v>0</v>
      </c>
      <c r="G267" s="1">
        <v>0</v>
      </c>
      <c r="H267" s="1">
        <v>0</v>
      </c>
      <c r="I267" s="1">
        <v>2.0999999049999998</v>
      </c>
      <c r="J267" s="1">
        <v>0</v>
      </c>
      <c r="K267" s="1">
        <v>0</v>
      </c>
      <c r="L267" s="1">
        <v>0</v>
      </c>
      <c r="M267" s="1">
        <v>173</v>
      </c>
      <c r="N267" s="1">
        <v>1180</v>
      </c>
      <c r="O267" s="1">
        <v>1680</v>
      </c>
      <c r="P267" s="1" t="s">
        <v>17</v>
      </c>
      <c r="Q267" t="str">
        <f>TEXT(dailyActivity_merged[[#This Row],[ActivityDate]],"dddd")</f>
        <v>Saturday</v>
      </c>
    </row>
    <row r="268" spans="1:17" x14ac:dyDescent="0.35">
      <c r="A268" s="1">
        <v>4558609924</v>
      </c>
      <c r="B268" s="2">
        <v>42463</v>
      </c>
      <c r="C268" s="1">
        <v>6176</v>
      </c>
      <c r="D268" s="1">
        <v>4.079999924</v>
      </c>
      <c r="E268" s="1">
        <v>4.079999924</v>
      </c>
      <c r="F268" s="1">
        <v>0</v>
      </c>
      <c r="G268" s="1">
        <v>7.0000000000000007E-2</v>
      </c>
      <c r="H268" s="1">
        <v>0.25999999000000001</v>
      </c>
      <c r="I268" s="1">
        <v>3.75</v>
      </c>
      <c r="J268" s="1">
        <v>0</v>
      </c>
      <c r="K268" s="1">
        <v>1</v>
      </c>
      <c r="L268" s="1">
        <v>7</v>
      </c>
      <c r="M268" s="1">
        <v>269</v>
      </c>
      <c r="N268" s="1">
        <v>886</v>
      </c>
      <c r="O268" s="1">
        <v>1901</v>
      </c>
      <c r="P268" s="1" t="s">
        <v>19</v>
      </c>
      <c r="Q268" t="str">
        <f>TEXT(dailyActivity_merged[[#This Row],[ActivityDate]],"dddd")</f>
        <v>Sunday</v>
      </c>
    </row>
    <row r="269" spans="1:17" x14ac:dyDescent="0.35">
      <c r="A269" s="1">
        <v>4558609924</v>
      </c>
      <c r="B269" s="2">
        <v>42464</v>
      </c>
      <c r="C269" s="1">
        <v>8205</v>
      </c>
      <c r="D269" s="1">
        <v>5.420000076</v>
      </c>
      <c r="E269" s="1">
        <v>5.420000076</v>
      </c>
      <c r="F269" s="1">
        <v>0</v>
      </c>
      <c r="G269" s="1">
        <v>0</v>
      </c>
      <c r="H269" s="1">
        <v>0</v>
      </c>
      <c r="I269" s="1">
        <v>5.420000076</v>
      </c>
      <c r="J269" s="1">
        <v>0</v>
      </c>
      <c r="K269" s="1">
        <v>0</v>
      </c>
      <c r="L269" s="1">
        <v>0</v>
      </c>
      <c r="M269" s="1">
        <v>367</v>
      </c>
      <c r="N269" s="1">
        <v>1073</v>
      </c>
      <c r="O269" s="1">
        <v>2078</v>
      </c>
      <c r="P269" s="1" t="s">
        <v>18</v>
      </c>
      <c r="Q269" t="str">
        <f>TEXT(dailyActivity_merged[[#This Row],[ActivityDate]],"dddd")</f>
        <v>Monday</v>
      </c>
    </row>
    <row r="270" spans="1:17" x14ac:dyDescent="0.35">
      <c r="A270" s="1">
        <v>4558609924</v>
      </c>
      <c r="B270" s="2">
        <v>42465</v>
      </c>
      <c r="C270" s="1">
        <v>6799</v>
      </c>
      <c r="D270" s="1">
        <v>4.4899997709999999</v>
      </c>
      <c r="E270" s="1">
        <v>4.4899997709999999</v>
      </c>
      <c r="F270" s="1">
        <v>0</v>
      </c>
      <c r="G270" s="1">
        <v>1.5900000329999999</v>
      </c>
      <c r="H270" s="1">
        <v>0.86000001400000003</v>
      </c>
      <c r="I270" s="1">
        <v>2.039999962</v>
      </c>
      <c r="J270" s="1">
        <v>0</v>
      </c>
      <c r="K270" s="1">
        <v>24</v>
      </c>
      <c r="L270" s="1">
        <v>14</v>
      </c>
      <c r="M270" s="1">
        <v>185</v>
      </c>
      <c r="N270" s="1">
        <v>1217</v>
      </c>
      <c r="O270" s="1">
        <v>1876</v>
      </c>
      <c r="P270" s="1" t="s">
        <v>19</v>
      </c>
      <c r="Q270" t="str">
        <f>TEXT(dailyActivity_merged[[#This Row],[ActivityDate]],"dddd")</f>
        <v>Tuesday</v>
      </c>
    </row>
    <row r="271" spans="1:17" x14ac:dyDescent="0.35">
      <c r="A271" s="1">
        <v>4558609924</v>
      </c>
      <c r="B271" s="2">
        <v>42466</v>
      </c>
      <c r="C271" s="1">
        <v>5668</v>
      </c>
      <c r="D271" s="1">
        <v>3.75</v>
      </c>
      <c r="E271" s="1">
        <v>3.75</v>
      </c>
      <c r="F271" s="1">
        <v>0</v>
      </c>
      <c r="G271" s="1">
        <v>0</v>
      </c>
      <c r="H271" s="1">
        <v>0</v>
      </c>
      <c r="I271" s="1">
        <v>3.75</v>
      </c>
      <c r="J271" s="1">
        <v>0</v>
      </c>
      <c r="K271" s="1">
        <v>0</v>
      </c>
      <c r="L271" s="1">
        <v>0</v>
      </c>
      <c r="M271" s="1">
        <v>259</v>
      </c>
      <c r="N271" s="1">
        <v>1181</v>
      </c>
      <c r="O271" s="1">
        <v>1853</v>
      </c>
      <c r="P271" s="1" t="s">
        <v>19</v>
      </c>
      <c r="Q271" t="str">
        <f>TEXT(dailyActivity_merged[[#This Row],[ActivityDate]],"dddd")</f>
        <v>Wednesday</v>
      </c>
    </row>
    <row r="272" spans="1:17" x14ac:dyDescent="0.35">
      <c r="A272" s="1">
        <v>4558609924</v>
      </c>
      <c r="B272" s="2">
        <v>42467</v>
      </c>
      <c r="C272" s="1">
        <v>7998</v>
      </c>
      <c r="D272" s="1">
        <v>5.2899999619999996</v>
      </c>
      <c r="E272" s="1">
        <v>5.2899999619999996</v>
      </c>
      <c r="F272" s="1">
        <v>0</v>
      </c>
      <c r="G272" s="1">
        <v>0.50999998999999996</v>
      </c>
      <c r="H272" s="1">
        <v>0.25</v>
      </c>
      <c r="I272" s="1">
        <v>4.5300002099999999</v>
      </c>
      <c r="J272" s="1">
        <v>0</v>
      </c>
      <c r="K272" s="1">
        <v>27</v>
      </c>
      <c r="L272" s="1">
        <v>12</v>
      </c>
      <c r="M272" s="1">
        <v>296</v>
      </c>
      <c r="N272" s="1">
        <v>1105</v>
      </c>
      <c r="O272" s="1">
        <v>2235</v>
      </c>
      <c r="P272" s="1" t="s">
        <v>18</v>
      </c>
      <c r="Q272" t="str">
        <f>TEXT(dailyActivity_merged[[#This Row],[ActivityDate]],"dddd")</f>
        <v>Thursday</v>
      </c>
    </row>
    <row r="273" spans="1:17" x14ac:dyDescent="0.35">
      <c r="A273" s="1">
        <v>4558609924</v>
      </c>
      <c r="B273" s="2">
        <v>42468</v>
      </c>
      <c r="C273" s="1">
        <v>4195</v>
      </c>
      <c r="D273" s="1">
        <v>2.7699999809999998</v>
      </c>
      <c r="E273" s="1">
        <v>2.7699999809999998</v>
      </c>
      <c r="F273" s="1">
        <v>0</v>
      </c>
      <c r="G273" s="1">
        <v>0</v>
      </c>
      <c r="H273" s="1">
        <v>0</v>
      </c>
      <c r="I273" s="1">
        <v>2.7699999809999998</v>
      </c>
      <c r="J273" s="1">
        <v>0</v>
      </c>
      <c r="K273" s="1">
        <v>0</v>
      </c>
      <c r="L273" s="1">
        <v>0</v>
      </c>
      <c r="M273" s="1">
        <v>241</v>
      </c>
      <c r="N273" s="1">
        <v>1199</v>
      </c>
      <c r="O273" s="1">
        <v>1778</v>
      </c>
      <c r="P273" s="1" t="s">
        <v>17</v>
      </c>
      <c r="Q273" t="str">
        <f>TEXT(dailyActivity_merged[[#This Row],[ActivityDate]],"dddd")</f>
        <v>Friday</v>
      </c>
    </row>
    <row r="274" spans="1:17" x14ac:dyDescent="0.35">
      <c r="A274" s="1">
        <v>4558609924</v>
      </c>
      <c r="B274" s="2">
        <v>42469</v>
      </c>
      <c r="C274" s="1">
        <v>5512</v>
      </c>
      <c r="D274" s="1">
        <v>3.6400001049999999</v>
      </c>
      <c r="E274" s="1">
        <v>3.6400001049999999</v>
      </c>
      <c r="F274" s="1">
        <v>0</v>
      </c>
      <c r="G274" s="1">
        <v>0</v>
      </c>
      <c r="H274" s="1">
        <v>0</v>
      </c>
      <c r="I274" s="1">
        <v>3.6400001049999999</v>
      </c>
      <c r="J274" s="1">
        <v>0</v>
      </c>
      <c r="K274" s="1">
        <v>0</v>
      </c>
      <c r="L274" s="1">
        <v>0</v>
      </c>
      <c r="M274" s="1">
        <v>276</v>
      </c>
      <c r="N274" s="1">
        <v>1164</v>
      </c>
      <c r="O274" s="1">
        <v>1882</v>
      </c>
      <c r="P274" s="1" t="s">
        <v>19</v>
      </c>
      <c r="Q274" t="str">
        <f>TEXT(dailyActivity_merged[[#This Row],[ActivityDate]],"dddd")</f>
        <v>Saturday</v>
      </c>
    </row>
    <row r="275" spans="1:17" x14ac:dyDescent="0.35">
      <c r="A275" s="1">
        <v>4558609924</v>
      </c>
      <c r="B275" s="2">
        <v>42470</v>
      </c>
      <c r="C275" s="1">
        <v>6263</v>
      </c>
      <c r="D275" s="1">
        <v>4.1399998660000001</v>
      </c>
      <c r="E275" s="1">
        <v>4.1399998660000001</v>
      </c>
      <c r="F275" s="1">
        <v>0</v>
      </c>
      <c r="G275" s="1">
        <v>0</v>
      </c>
      <c r="H275" s="1">
        <v>0</v>
      </c>
      <c r="I275" s="1">
        <v>4.1300001139999996</v>
      </c>
      <c r="J275" s="1">
        <v>0</v>
      </c>
      <c r="K275" s="1">
        <v>0</v>
      </c>
      <c r="L275" s="1">
        <v>0</v>
      </c>
      <c r="M275" s="1">
        <v>290</v>
      </c>
      <c r="N275" s="1">
        <v>1150</v>
      </c>
      <c r="O275" s="1">
        <v>1906</v>
      </c>
      <c r="P275" s="1" t="s">
        <v>19</v>
      </c>
      <c r="Q275" t="str">
        <f>TEXT(dailyActivity_merged[[#This Row],[ActivityDate]],"dddd")</f>
        <v>Sunday</v>
      </c>
    </row>
    <row r="276" spans="1:17" x14ac:dyDescent="0.35">
      <c r="A276" s="1">
        <v>4558609924</v>
      </c>
      <c r="B276" s="2">
        <v>42471</v>
      </c>
      <c r="C276" s="1">
        <v>8828</v>
      </c>
      <c r="D276" s="1">
        <v>5.8400001530000001</v>
      </c>
      <c r="E276" s="1">
        <v>5.8400001530000001</v>
      </c>
      <c r="F276" s="1">
        <v>0</v>
      </c>
      <c r="G276" s="1">
        <v>0</v>
      </c>
      <c r="H276" s="1">
        <v>0</v>
      </c>
      <c r="I276" s="1">
        <v>5.8400001530000001</v>
      </c>
      <c r="J276" s="1">
        <v>0</v>
      </c>
      <c r="K276" s="1">
        <v>0</v>
      </c>
      <c r="L276" s="1">
        <v>0</v>
      </c>
      <c r="M276" s="1">
        <v>308</v>
      </c>
      <c r="N276" s="1">
        <v>1132</v>
      </c>
      <c r="O276" s="1">
        <v>2149</v>
      </c>
      <c r="P276" s="1" t="s">
        <v>18</v>
      </c>
      <c r="Q276" t="str">
        <f>TEXT(dailyActivity_merged[[#This Row],[ActivityDate]],"dddd")</f>
        <v>Monday</v>
      </c>
    </row>
    <row r="277" spans="1:17" x14ac:dyDescent="0.35">
      <c r="A277" s="1">
        <v>4558609924</v>
      </c>
      <c r="B277" s="2">
        <v>42472</v>
      </c>
      <c r="C277" s="1">
        <v>1260</v>
      </c>
      <c r="D277" s="1">
        <v>0.829999983</v>
      </c>
      <c r="E277" s="1">
        <v>0.829999983</v>
      </c>
      <c r="F277" s="1">
        <v>0</v>
      </c>
      <c r="G277" s="1">
        <v>0</v>
      </c>
      <c r="H277" s="1">
        <v>0</v>
      </c>
      <c r="I277" s="1">
        <v>0.81999999300000004</v>
      </c>
      <c r="J277" s="1">
        <v>0</v>
      </c>
      <c r="K277" s="1">
        <v>0</v>
      </c>
      <c r="L277" s="1">
        <v>0</v>
      </c>
      <c r="M277" s="1">
        <v>76</v>
      </c>
      <c r="N277" s="1">
        <v>555</v>
      </c>
      <c r="O277" s="1">
        <v>722</v>
      </c>
      <c r="P277" s="1" t="s">
        <v>17</v>
      </c>
      <c r="Q277" t="str">
        <f>TEXT(dailyActivity_merged[[#This Row],[ActivityDate]],"dddd")</f>
        <v>Tuesday</v>
      </c>
    </row>
    <row r="278" spans="1:17" x14ac:dyDescent="0.35">
      <c r="A278" s="1">
        <v>4702921684</v>
      </c>
      <c r="B278" s="2">
        <v>42458</v>
      </c>
      <c r="C278" s="1">
        <v>6506</v>
      </c>
      <c r="D278" s="1">
        <v>5.2800002099999999</v>
      </c>
      <c r="E278" s="1">
        <v>5.2800002099999999</v>
      </c>
      <c r="F278" s="1">
        <v>0</v>
      </c>
      <c r="G278" s="1">
        <v>0.33000001299999998</v>
      </c>
      <c r="H278" s="1">
        <v>0.27000001099999998</v>
      </c>
      <c r="I278" s="1">
        <v>4.670000076</v>
      </c>
      <c r="J278" s="1">
        <v>0</v>
      </c>
      <c r="K278" s="1">
        <v>4</v>
      </c>
      <c r="L278" s="1">
        <v>5</v>
      </c>
      <c r="M278" s="1">
        <v>241</v>
      </c>
      <c r="N278" s="1">
        <v>760</v>
      </c>
      <c r="O278" s="1">
        <v>2886</v>
      </c>
      <c r="P278" s="1" t="s">
        <v>19</v>
      </c>
      <c r="Q278" t="str">
        <f>TEXT(dailyActivity_merged[[#This Row],[ActivityDate]],"dddd")</f>
        <v>Tuesday</v>
      </c>
    </row>
    <row r="279" spans="1:17" x14ac:dyDescent="0.35">
      <c r="A279" s="1">
        <v>4702921684</v>
      </c>
      <c r="B279" s="2">
        <v>42459</v>
      </c>
      <c r="C279" s="1">
        <v>7583</v>
      </c>
      <c r="D279" s="1">
        <v>6.1500000950000002</v>
      </c>
      <c r="E279" s="1">
        <v>6.1500000950000002</v>
      </c>
      <c r="F279" s="1">
        <v>0</v>
      </c>
      <c r="G279" s="1">
        <v>0.25</v>
      </c>
      <c r="H279" s="1">
        <v>0.55000001200000004</v>
      </c>
      <c r="I279" s="1">
        <v>5.3499999049999998</v>
      </c>
      <c r="J279" s="1">
        <v>0</v>
      </c>
      <c r="K279" s="1">
        <v>3</v>
      </c>
      <c r="L279" s="1">
        <v>13</v>
      </c>
      <c r="M279" s="1">
        <v>227</v>
      </c>
      <c r="N279" s="1">
        <v>742</v>
      </c>
      <c r="O279" s="1">
        <v>2915</v>
      </c>
      <c r="P279" s="1" t="s">
        <v>18</v>
      </c>
      <c r="Q279" t="str">
        <f>TEXT(dailyActivity_merged[[#This Row],[ActivityDate]],"dddd")</f>
        <v>Wednesday</v>
      </c>
    </row>
    <row r="280" spans="1:17" x14ac:dyDescent="0.35">
      <c r="A280" s="1">
        <v>4702921684</v>
      </c>
      <c r="B280" s="2">
        <v>42460</v>
      </c>
      <c r="C280" s="1">
        <v>6963</v>
      </c>
      <c r="D280" s="1">
        <v>5.6500000950000002</v>
      </c>
      <c r="E280" s="1">
        <v>5.6500000950000002</v>
      </c>
      <c r="F280" s="1">
        <v>0</v>
      </c>
      <c r="G280" s="1">
        <v>0</v>
      </c>
      <c r="H280" s="1">
        <v>0</v>
      </c>
      <c r="I280" s="1">
        <v>5.6500000950000002</v>
      </c>
      <c r="J280" s="1">
        <v>0</v>
      </c>
      <c r="K280" s="1">
        <v>0</v>
      </c>
      <c r="L280" s="1">
        <v>0</v>
      </c>
      <c r="M280" s="1">
        <v>256</v>
      </c>
      <c r="N280" s="1">
        <v>759</v>
      </c>
      <c r="O280" s="1">
        <v>2895</v>
      </c>
      <c r="P280" s="1" t="s">
        <v>19</v>
      </c>
      <c r="Q280" t="str">
        <f>TEXT(dailyActivity_merged[[#This Row],[ActivityDate]],"dddd")</f>
        <v>Thursday</v>
      </c>
    </row>
    <row r="281" spans="1:17" x14ac:dyDescent="0.35">
      <c r="A281" s="1">
        <v>4702921684</v>
      </c>
      <c r="B281" s="2">
        <v>42461</v>
      </c>
      <c r="C281" s="1">
        <v>7165</v>
      </c>
      <c r="D281" s="1">
        <v>5.8099999430000002</v>
      </c>
      <c r="E281" s="1">
        <v>5.8099999430000002</v>
      </c>
      <c r="F281" s="1">
        <v>0</v>
      </c>
      <c r="G281" s="1">
        <v>0</v>
      </c>
      <c r="H281" s="1">
        <v>0.37000000500000002</v>
      </c>
      <c r="I281" s="1">
        <v>5.4400000569999998</v>
      </c>
      <c r="J281" s="1">
        <v>0</v>
      </c>
      <c r="K281" s="1">
        <v>0</v>
      </c>
      <c r="L281" s="1">
        <v>9</v>
      </c>
      <c r="M281" s="1">
        <v>248</v>
      </c>
      <c r="N281" s="1">
        <v>708</v>
      </c>
      <c r="O281" s="1">
        <v>2923</v>
      </c>
      <c r="P281" s="1" t="s">
        <v>19</v>
      </c>
      <c r="Q281" t="str">
        <f>TEXT(dailyActivity_merged[[#This Row],[ActivityDate]],"dddd")</f>
        <v>Friday</v>
      </c>
    </row>
    <row r="282" spans="1:17" x14ac:dyDescent="0.35">
      <c r="A282" s="1">
        <v>4702921684</v>
      </c>
      <c r="B282" s="2">
        <v>42462</v>
      </c>
      <c r="C282" s="1">
        <v>10328</v>
      </c>
      <c r="D282" s="1">
        <v>8.3800001139999996</v>
      </c>
      <c r="E282" s="1">
        <v>8.3800001139999996</v>
      </c>
      <c r="F282" s="1">
        <v>0</v>
      </c>
      <c r="G282" s="1">
        <v>0</v>
      </c>
      <c r="H282" s="1">
        <v>1.460000038</v>
      </c>
      <c r="I282" s="1">
        <v>6.920000076</v>
      </c>
      <c r="J282" s="1">
        <v>0</v>
      </c>
      <c r="K282" s="1">
        <v>0</v>
      </c>
      <c r="L282" s="1">
        <v>32</v>
      </c>
      <c r="M282" s="1">
        <v>367</v>
      </c>
      <c r="N282" s="1">
        <v>475</v>
      </c>
      <c r="O282" s="1">
        <v>3323</v>
      </c>
      <c r="P282" s="1" t="s">
        <v>16</v>
      </c>
      <c r="Q282" t="str">
        <f>TEXT(dailyActivity_merged[[#This Row],[ActivityDate]],"dddd")</f>
        <v>Saturday</v>
      </c>
    </row>
    <row r="283" spans="1:17" x14ac:dyDescent="0.35">
      <c r="A283" s="1">
        <v>4702921684</v>
      </c>
      <c r="B283" s="2">
        <v>42463</v>
      </c>
      <c r="C283" s="1">
        <v>12116</v>
      </c>
      <c r="D283" s="1">
        <v>9.8299999239999991</v>
      </c>
      <c r="E283" s="1">
        <v>9.8299999239999991</v>
      </c>
      <c r="F283" s="1">
        <v>0</v>
      </c>
      <c r="G283" s="1">
        <v>0.25</v>
      </c>
      <c r="H283" s="1">
        <v>2.8499999049999998</v>
      </c>
      <c r="I283" s="1">
        <v>6.7199997900000001</v>
      </c>
      <c r="J283" s="1">
        <v>0</v>
      </c>
      <c r="K283" s="1">
        <v>3</v>
      </c>
      <c r="L283" s="1">
        <v>57</v>
      </c>
      <c r="M283" s="1">
        <v>323</v>
      </c>
      <c r="N283" s="1">
        <v>471</v>
      </c>
      <c r="O283" s="1">
        <v>3357</v>
      </c>
      <c r="P283" s="1" t="s">
        <v>16</v>
      </c>
      <c r="Q283" t="str">
        <f>TEXT(dailyActivity_merged[[#This Row],[ActivityDate]],"dddd")</f>
        <v>Sunday</v>
      </c>
    </row>
    <row r="284" spans="1:17" x14ac:dyDescent="0.35">
      <c r="A284" s="1">
        <v>4702921684</v>
      </c>
      <c r="B284" s="2">
        <v>42464</v>
      </c>
      <c r="C284" s="1">
        <v>7810</v>
      </c>
      <c r="D284" s="1">
        <v>6.3600001339999999</v>
      </c>
      <c r="E284" s="1">
        <v>6.3600001339999999</v>
      </c>
      <c r="F284" s="1">
        <v>0</v>
      </c>
      <c r="G284" s="1">
        <v>0.47999998900000002</v>
      </c>
      <c r="H284" s="1">
        <v>1.2000000479999999</v>
      </c>
      <c r="I284" s="1">
        <v>4.6799998279999997</v>
      </c>
      <c r="J284" s="1">
        <v>0</v>
      </c>
      <c r="K284" s="1">
        <v>6</v>
      </c>
      <c r="L284" s="1">
        <v>27</v>
      </c>
      <c r="M284" s="1">
        <v>216</v>
      </c>
      <c r="N284" s="1">
        <v>746</v>
      </c>
      <c r="O284" s="1">
        <v>2931</v>
      </c>
      <c r="P284" s="1" t="s">
        <v>18</v>
      </c>
      <c r="Q284" t="str">
        <f>TEXT(dailyActivity_merged[[#This Row],[ActivityDate]],"dddd")</f>
        <v>Monday</v>
      </c>
    </row>
    <row r="285" spans="1:17" x14ac:dyDescent="0.35">
      <c r="A285" s="1">
        <v>4702921684</v>
      </c>
      <c r="B285" s="2">
        <v>42465</v>
      </c>
      <c r="C285" s="1">
        <v>6670</v>
      </c>
      <c r="D285" s="1">
        <v>5.4099998469999999</v>
      </c>
      <c r="E285" s="1">
        <v>5.4099998469999999</v>
      </c>
      <c r="F285" s="1">
        <v>0</v>
      </c>
      <c r="G285" s="1">
        <v>1.2400000099999999</v>
      </c>
      <c r="H285" s="1">
        <v>0.80000001200000004</v>
      </c>
      <c r="I285" s="1">
        <v>3.369999886</v>
      </c>
      <c r="J285" s="1">
        <v>0</v>
      </c>
      <c r="K285" s="1">
        <v>15</v>
      </c>
      <c r="L285" s="1">
        <v>16</v>
      </c>
      <c r="M285" s="1">
        <v>199</v>
      </c>
      <c r="N285" s="1">
        <v>770</v>
      </c>
      <c r="O285" s="1">
        <v>2848</v>
      </c>
      <c r="P285" s="1" t="s">
        <v>19</v>
      </c>
      <c r="Q285" t="str">
        <f>TEXT(dailyActivity_merged[[#This Row],[ActivityDate]],"dddd")</f>
        <v>Tuesday</v>
      </c>
    </row>
    <row r="286" spans="1:17" x14ac:dyDescent="0.35">
      <c r="A286" s="1">
        <v>4702921684</v>
      </c>
      <c r="B286" s="2">
        <v>42466</v>
      </c>
      <c r="C286" s="1">
        <v>7605</v>
      </c>
      <c r="D286" s="1">
        <v>6.1799998279999997</v>
      </c>
      <c r="E286" s="1">
        <v>6.1799998279999997</v>
      </c>
      <c r="F286" s="1">
        <v>0</v>
      </c>
      <c r="G286" s="1">
        <v>0.33000001299999998</v>
      </c>
      <c r="H286" s="1">
        <v>0.209999993</v>
      </c>
      <c r="I286" s="1">
        <v>5.6300001139999996</v>
      </c>
      <c r="J286" s="1">
        <v>0</v>
      </c>
      <c r="K286" s="1">
        <v>4</v>
      </c>
      <c r="L286" s="1">
        <v>4</v>
      </c>
      <c r="M286" s="1">
        <v>248</v>
      </c>
      <c r="N286" s="1">
        <v>708</v>
      </c>
      <c r="O286" s="1">
        <v>2943</v>
      </c>
      <c r="P286" s="1" t="s">
        <v>18</v>
      </c>
      <c r="Q286" t="str">
        <f>TEXT(dailyActivity_merged[[#This Row],[ActivityDate]],"dddd")</f>
        <v>Wednesday</v>
      </c>
    </row>
    <row r="287" spans="1:17" x14ac:dyDescent="0.35">
      <c r="A287" s="1">
        <v>4702921684</v>
      </c>
      <c r="B287" s="2">
        <v>42467</v>
      </c>
      <c r="C287" s="1">
        <v>6585</v>
      </c>
      <c r="D287" s="1">
        <v>5.3400001530000001</v>
      </c>
      <c r="E287" s="1">
        <v>5.3400001530000001</v>
      </c>
      <c r="F287" s="1">
        <v>0</v>
      </c>
      <c r="G287" s="1">
        <v>0</v>
      </c>
      <c r="H287" s="1">
        <v>0</v>
      </c>
      <c r="I287" s="1">
        <v>5.3400001530000001</v>
      </c>
      <c r="J287" s="1">
        <v>0</v>
      </c>
      <c r="K287" s="1">
        <v>0</v>
      </c>
      <c r="L287" s="1">
        <v>0</v>
      </c>
      <c r="M287" s="1">
        <v>210</v>
      </c>
      <c r="N287" s="1">
        <v>770</v>
      </c>
      <c r="O287" s="1">
        <v>2822</v>
      </c>
      <c r="P287" s="1" t="s">
        <v>19</v>
      </c>
      <c r="Q287" t="str">
        <f>TEXT(dailyActivity_merged[[#This Row],[ActivityDate]],"dddd")</f>
        <v>Thursday</v>
      </c>
    </row>
    <row r="288" spans="1:17" x14ac:dyDescent="0.35">
      <c r="A288" s="1">
        <v>4702921684</v>
      </c>
      <c r="B288" s="2">
        <v>42468</v>
      </c>
      <c r="C288" s="1">
        <v>8184</v>
      </c>
      <c r="D288" s="1">
        <v>6.6399998660000001</v>
      </c>
      <c r="E288" s="1">
        <v>6.6399998660000001</v>
      </c>
      <c r="F288" s="1">
        <v>0</v>
      </c>
      <c r="G288" s="1">
        <v>0</v>
      </c>
      <c r="H288" s="1">
        <v>0.62000000499999997</v>
      </c>
      <c r="I288" s="1">
        <v>5.9499998090000004</v>
      </c>
      <c r="J288" s="1">
        <v>0</v>
      </c>
      <c r="K288" s="1">
        <v>0</v>
      </c>
      <c r="L288" s="1">
        <v>15</v>
      </c>
      <c r="M288" s="1">
        <v>247</v>
      </c>
      <c r="N288" s="1">
        <v>808</v>
      </c>
      <c r="O288" s="1">
        <v>2981</v>
      </c>
      <c r="P288" s="1" t="s">
        <v>18</v>
      </c>
      <c r="Q288" t="str">
        <f>TEXT(dailyActivity_merged[[#This Row],[ActivityDate]],"dddd")</f>
        <v>Friday</v>
      </c>
    </row>
    <row r="289" spans="1:17" x14ac:dyDescent="0.35">
      <c r="A289" s="1">
        <v>4702921684</v>
      </c>
      <c r="B289" s="2">
        <v>42469</v>
      </c>
      <c r="C289" s="1">
        <v>14002</v>
      </c>
      <c r="D289" s="1">
        <v>11.35999966</v>
      </c>
      <c r="E289" s="1">
        <v>11.35999966</v>
      </c>
      <c r="F289" s="1">
        <v>0</v>
      </c>
      <c r="G289" s="1">
        <v>0.61000001400000003</v>
      </c>
      <c r="H289" s="1">
        <v>2.6800000669999999</v>
      </c>
      <c r="I289" s="1">
        <v>8.0600004199999997</v>
      </c>
      <c r="J289" s="1">
        <v>0</v>
      </c>
      <c r="K289" s="1">
        <v>8</v>
      </c>
      <c r="L289" s="1">
        <v>56</v>
      </c>
      <c r="M289" s="1">
        <v>381</v>
      </c>
      <c r="N289" s="1">
        <v>407</v>
      </c>
      <c r="O289" s="1">
        <v>3597</v>
      </c>
      <c r="P289" s="1" t="s">
        <v>16</v>
      </c>
      <c r="Q289" t="str">
        <f>TEXT(dailyActivity_merged[[#This Row],[ActivityDate]],"dddd")</f>
        <v>Saturday</v>
      </c>
    </row>
    <row r="290" spans="1:17" x14ac:dyDescent="0.35">
      <c r="A290" s="1">
        <v>4702921684</v>
      </c>
      <c r="B290" s="2">
        <v>42470</v>
      </c>
      <c r="C290" s="1">
        <v>11135</v>
      </c>
      <c r="D290" s="1">
        <v>9.0299997330000004</v>
      </c>
      <c r="E290" s="1">
        <v>9.0299997330000004</v>
      </c>
      <c r="F290" s="1">
        <v>0</v>
      </c>
      <c r="G290" s="1">
        <v>7.9999998000000003E-2</v>
      </c>
      <c r="H290" s="1">
        <v>1.1599999670000001</v>
      </c>
      <c r="I290" s="1">
        <v>7.7899999619999996</v>
      </c>
      <c r="J290" s="1">
        <v>0</v>
      </c>
      <c r="K290" s="1">
        <v>1</v>
      </c>
      <c r="L290" s="1">
        <v>25</v>
      </c>
      <c r="M290" s="1">
        <v>331</v>
      </c>
      <c r="N290" s="1">
        <v>528</v>
      </c>
      <c r="O290" s="1">
        <v>3224</v>
      </c>
      <c r="P290" s="1" t="s">
        <v>16</v>
      </c>
      <c r="Q290" t="str">
        <f>TEXT(dailyActivity_merged[[#This Row],[ActivityDate]],"dddd")</f>
        <v>Sunday</v>
      </c>
    </row>
    <row r="291" spans="1:17" x14ac:dyDescent="0.35">
      <c r="A291" s="1">
        <v>4702921684</v>
      </c>
      <c r="B291" s="2">
        <v>42471</v>
      </c>
      <c r="C291" s="1">
        <v>6499</v>
      </c>
      <c r="D291" s="1">
        <v>5.2699999809999998</v>
      </c>
      <c r="E291" s="1">
        <v>5.2699999809999998</v>
      </c>
      <c r="F291" s="1">
        <v>0</v>
      </c>
      <c r="G291" s="1">
        <v>0</v>
      </c>
      <c r="H291" s="1">
        <v>0</v>
      </c>
      <c r="I291" s="1">
        <v>5.2699999809999998</v>
      </c>
      <c r="J291" s="1">
        <v>0</v>
      </c>
      <c r="K291" s="1">
        <v>0</v>
      </c>
      <c r="L291" s="1">
        <v>0</v>
      </c>
      <c r="M291" s="1">
        <v>207</v>
      </c>
      <c r="N291" s="1">
        <v>809</v>
      </c>
      <c r="O291" s="1">
        <v>2677</v>
      </c>
      <c r="P291" s="1" t="s">
        <v>19</v>
      </c>
      <c r="Q291" t="str">
        <f>TEXT(dailyActivity_merged[[#This Row],[ActivityDate]],"dddd")</f>
        <v>Monday</v>
      </c>
    </row>
    <row r="292" spans="1:17" x14ac:dyDescent="0.35">
      <c r="A292" s="1">
        <v>4702921684</v>
      </c>
      <c r="B292" s="2">
        <v>42472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1440</v>
      </c>
      <c r="O292" s="1">
        <v>0</v>
      </c>
      <c r="P292" s="1" t="s">
        <v>17</v>
      </c>
      <c r="Q292" t="str">
        <f>TEXT(dailyActivity_merged[[#This Row],[ActivityDate]],"dddd")</f>
        <v>Tuesday</v>
      </c>
    </row>
    <row r="293" spans="1:17" x14ac:dyDescent="0.35">
      <c r="A293" s="1">
        <v>5553957443</v>
      </c>
      <c r="B293" s="2">
        <v>42461</v>
      </c>
      <c r="C293" s="1">
        <v>12409</v>
      </c>
      <c r="D293" s="1">
        <v>8.1000003809999992</v>
      </c>
      <c r="E293" s="1">
        <v>8.1000003809999992</v>
      </c>
      <c r="F293" s="1">
        <v>0</v>
      </c>
      <c r="G293" s="1">
        <v>2.9000000950000002</v>
      </c>
      <c r="H293" s="1">
        <v>0.62999999500000003</v>
      </c>
      <c r="I293" s="1">
        <v>4.579999924</v>
      </c>
      <c r="J293" s="1">
        <v>0</v>
      </c>
      <c r="K293" s="1">
        <v>51</v>
      </c>
      <c r="L293" s="1">
        <v>12</v>
      </c>
      <c r="M293" s="1">
        <v>235</v>
      </c>
      <c r="N293" s="1">
        <v>782</v>
      </c>
      <c r="O293" s="1">
        <v>2142</v>
      </c>
      <c r="P293" s="1" t="s">
        <v>16</v>
      </c>
      <c r="Q293" t="str">
        <f>TEXT(dailyActivity_merged[[#This Row],[ActivityDate]],"dddd")</f>
        <v>Friday</v>
      </c>
    </row>
    <row r="294" spans="1:17" x14ac:dyDescent="0.35">
      <c r="A294" s="1">
        <v>5553957443</v>
      </c>
      <c r="B294" s="2">
        <v>42462</v>
      </c>
      <c r="C294" s="1">
        <v>2937</v>
      </c>
      <c r="D294" s="1">
        <v>1.9199999569999999</v>
      </c>
      <c r="E294" s="1">
        <v>1.9199999569999999</v>
      </c>
      <c r="F294" s="1">
        <v>0</v>
      </c>
      <c r="G294" s="1">
        <v>0</v>
      </c>
      <c r="H294" s="1">
        <v>0</v>
      </c>
      <c r="I294" s="1">
        <v>1.9099999670000001</v>
      </c>
      <c r="J294" s="1">
        <v>0</v>
      </c>
      <c r="K294" s="1">
        <v>0</v>
      </c>
      <c r="L294" s="1">
        <v>0</v>
      </c>
      <c r="M294" s="1">
        <v>181</v>
      </c>
      <c r="N294" s="1">
        <v>356</v>
      </c>
      <c r="O294" s="1">
        <v>1615</v>
      </c>
      <c r="P294" s="1" t="s">
        <v>17</v>
      </c>
      <c r="Q294" t="str">
        <f>TEXT(dailyActivity_merged[[#This Row],[ActivityDate]],"dddd")</f>
        <v>Saturday</v>
      </c>
    </row>
    <row r="295" spans="1:17" x14ac:dyDescent="0.35">
      <c r="A295" s="1">
        <v>5553957443</v>
      </c>
      <c r="B295" s="2">
        <v>42463</v>
      </c>
      <c r="C295" s="1">
        <v>1515</v>
      </c>
      <c r="D295" s="1">
        <v>0.99000001000000004</v>
      </c>
      <c r="E295" s="1">
        <v>0.99000001000000004</v>
      </c>
      <c r="F295" s="1">
        <v>0</v>
      </c>
      <c r="G295" s="1">
        <v>0</v>
      </c>
      <c r="H295" s="1">
        <v>0</v>
      </c>
      <c r="I295" s="1">
        <v>0.99000001000000004</v>
      </c>
      <c r="J295" s="1">
        <v>0</v>
      </c>
      <c r="K295" s="1">
        <v>0</v>
      </c>
      <c r="L295" s="1">
        <v>0</v>
      </c>
      <c r="M295" s="1">
        <v>93</v>
      </c>
      <c r="N295" s="1">
        <v>507</v>
      </c>
      <c r="O295" s="1">
        <v>1481</v>
      </c>
      <c r="P295" s="1" t="s">
        <v>17</v>
      </c>
      <c r="Q295" t="str">
        <f>TEXT(dailyActivity_merged[[#This Row],[ActivityDate]],"dddd")</f>
        <v>Sunday</v>
      </c>
    </row>
    <row r="296" spans="1:17" x14ac:dyDescent="0.35">
      <c r="A296" s="1">
        <v>5553957443</v>
      </c>
      <c r="B296" s="2">
        <v>42464</v>
      </c>
      <c r="C296" s="1">
        <v>8921</v>
      </c>
      <c r="D296" s="1">
        <v>5.8800001139999996</v>
      </c>
      <c r="E296" s="1">
        <v>5.8800001139999996</v>
      </c>
      <c r="F296" s="1">
        <v>0</v>
      </c>
      <c r="G296" s="1">
        <v>2.0699999330000001</v>
      </c>
      <c r="H296" s="1">
        <v>0.439999998</v>
      </c>
      <c r="I296" s="1">
        <v>3.3599998950000001</v>
      </c>
      <c r="J296" s="1">
        <v>0</v>
      </c>
      <c r="K296" s="1">
        <v>27</v>
      </c>
      <c r="L296" s="1">
        <v>8</v>
      </c>
      <c r="M296" s="1">
        <v>198</v>
      </c>
      <c r="N296" s="1">
        <v>754</v>
      </c>
      <c r="O296" s="1">
        <v>1892</v>
      </c>
      <c r="P296" s="1" t="s">
        <v>18</v>
      </c>
      <c r="Q296" t="str">
        <f>TEXT(dailyActivity_merged[[#This Row],[ActivityDate]],"dddd")</f>
        <v>Monday</v>
      </c>
    </row>
    <row r="297" spans="1:17" x14ac:dyDescent="0.35">
      <c r="A297" s="1">
        <v>5553957443</v>
      </c>
      <c r="B297" s="2">
        <v>42465</v>
      </c>
      <c r="C297" s="1">
        <v>11306</v>
      </c>
      <c r="D297" s="1">
        <v>7.3800001139999996</v>
      </c>
      <c r="E297" s="1">
        <v>7.3800001139999996</v>
      </c>
      <c r="F297" s="1">
        <v>0</v>
      </c>
      <c r="G297" s="1">
        <v>2.3099999430000002</v>
      </c>
      <c r="H297" s="1">
        <v>0.980000019</v>
      </c>
      <c r="I297" s="1">
        <v>4.0900001530000001</v>
      </c>
      <c r="J297" s="1">
        <v>0</v>
      </c>
      <c r="K297" s="1">
        <v>40</v>
      </c>
      <c r="L297" s="1">
        <v>26</v>
      </c>
      <c r="M297" s="1">
        <v>218</v>
      </c>
      <c r="N297" s="1">
        <v>772</v>
      </c>
      <c r="O297" s="1">
        <v>2086</v>
      </c>
      <c r="P297" s="1" t="s">
        <v>16</v>
      </c>
      <c r="Q297" t="str">
        <f>TEXT(dailyActivity_merged[[#This Row],[ActivityDate]],"dddd")</f>
        <v>Tuesday</v>
      </c>
    </row>
    <row r="298" spans="1:17" x14ac:dyDescent="0.35">
      <c r="A298" s="1">
        <v>5553957443</v>
      </c>
      <c r="B298" s="2">
        <v>42466</v>
      </c>
      <c r="C298" s="1">
        <v>12252</v>
      </c>
      <c r="D298" s="1">
        <v>8</v>
      </c>
      <c r="E298" s="1">
        <v>8</v>
      </c>
      <c r="F298" s="1">
        <v>0</v>
      </c>
      <c r="G298" s="1">
        <v>2.4100000860000002</v>
      </c>
      <c r="H298" s="1">
        <v>1.7000000479999999</v>
      </c>
      <c r="I298" s="1">
        <v>3.8900001049999999</v>
      </c>
      <c r="J298" s="1">
        <v>0</v>
      </c>
      <c r="K298" s="1">
        <v>33</v>
      </c>
      <c r="L298" s="1">
        <v>28</v>
      </c>
      <c r="M298" s="1">
        <v>229</v>
      </c>
      <c r="N298" s="1">
        <v>745</v>
      </c>
      <c r="O298" s="1">
        <v>2044</v>
      </c>
      <c r="P298" s="1" t="s">
        <v>16</v>
      </c>
      <c r="Q298" t="str">
        <f>TEXT(dailyActivity_merged[[#This Row],[ActivityDate]],"dddd")</f>
        <v>Wednesday</v>
      </c>
    </row>
    <row r="299" spans="1:17" x14ac:dyDescent="0.35">
      <c r="A299" s="1">
        <v>5553957443</v>
      </c>
      <c r="B299" s="2">
        <v>42467</v>
      </c>
      <c r="C299" s="1">
        <v>15444</v>
      </c>
      <c r="D299" s="1">
        <v>10.079999920000001</v>
      </c>
      <c r="E299" s="1">
        <v>10.079999920000001</v>
      </c>
      <c r="F299" s="1">
        <v>0</v>
      </c>
      <c r="G299" s="1">
        <v>3.2699999809999998</v>
      </c>
      <c r="H299" s="1">
        <v>1.730000019</v>
      </c>
      <c r="I299" s="1">
        <v>5.079999924</v>
      </c>
      <c r="J299" s="1">
        <v>0</v>
      </c>
      <c r="K299" s="1">
        <v>51</v>
      </c>
      <c r="L299" s="1">
        <v>39</v>
      </c>
      <c r="M299" s="1">
        <v>243</v>
      </c>
      <c r="N299" s="1">
        <v>731</v>
      </c>
      <c r="O299" s="1">
        <v>2249</v>
      </c>
      <c r="P299" s="1" t="s">
        <v>16</v>
      </c>
      <c r="Q299" t="str">
        <f>TEXT(dailyActivity_merged[[#This Row],[ActivityDate]],"dddd")</f>
        <v>Thursday</v>
      </c>
    </row>
    <row r="300" spans="1:17" x14ac:dyDescent="0.35">
      <c r="A300" s="1">
        <v>5553957443</v>
      </c>
      <c r="B300" s="2">
        <v>42468</v>
      </c>
      <c r="C300" s="1">
        <v>9938</v>
      </c>
      <c r="D300" s="1">
        <v>6.4899997709999999</v>
      </c>
      <c r="E300" s="1">
        <v>6.4899997709999999</v>
      </c>
      <c r="F300" s="1">
        <v>0</v>
      </c>
      <c r="G300" s="1">
        <v>2.1400001049999999</v>
      </c>
      <c r="H300" s="1">
        <v>1.2799999710000001</v>
      </c>
      <c r="I300" s="1">
        <v>3.079999924</v>
      </c>
      <c r="J300" s="1">
        <v>0</v>
      </c>
      <c r="K300" s="1">
        <v>38</v>
      </c>
      <c r="L300" s="1">
        <v>24</v>
      </c>
      <c r="M300" s="1">
        <v>193</v>
      </c>
      <c r="N300" s="1">
        <v>767</v>
      </c>
      <c r="O300" s="1">
        <v>2019</v>
      </c>
      <c r="P300" s="1" t="s">
        <v>18</v>
      </c>
      <c r="Q300" t="str">
        <f>TEXT(dailyActivity_merged[[#This Row],[ActivityDate]],"dddd")</f>
        <v>Friday</v>
      </c>
    </row>
    <row r="301" spans="1:17" x14ac:dyDescent="0.35">
      <c r="A301" s="1">
        <v>5553957443</v>
      </c>
      <c r="B301" s="2">
        <v>42469</v>
      </c>
      <c r="C301" s="1">
        <v>4599</v>
      </c>
      <c r="D301" s="1">
        <v>3</v>
      </c>
      <c r="E301" s="1">
        <v>3</v>
      </c>
      <c r="F301" s="1">
        <v>0</v>
      </c>
      <c r="G301" s="1">
        <v>0</v>
      </c>
      <c r="H301" s="1">
        <v>0</v>
      </c>
      <c r="I301" s="1">
        <v>3</v>
      </c>
      <c r="J301" s="1">
        <v>0</v>
      </c>
      <c r="K301" s="1">
        <v>0</v>
      </c>
      <c r="L301" s="1">
        <v>0</v>
      </c>
      <c r="M301" s="1">
        <v>176</v>
      </c>
      <c r="N301" s="1">
        <v>578</v>
      </c>
      <c r="O301" s="1">
        <v>1692</v>
      </c>
      <c r="P301" s="1" t="s">
        <v>17</v>
      </c>
      <c r="Q301" t="str">
        <f>TEXT(dailyActivity_merged[[#This Row],[ActivityDate]],"dddd")</f>
        <v>Saturday</v>
      </c>
    </row>
    <row r="302" spans="1:17" x14ac:dyDescent="0.35">
      <c r="A302" s="1">
        <v>5553957443</v>
      </c>
      <c r="B302" s="2">
        <v>42470</v>
      </c>
      <c r="C302" s="1">
        <v>5594</v>
      </c>
      <c r="D302" s="1">
        <v>3.6500000950000002</v>
      </c>
      <c r="E302" s="1">
        <v>3.6500000950000002</v>
      </c>
      <c r="F302" s="1">
        <v>0</v>
      </c>
      <c r="G302" s="1">
        <v>0.280000001</v>
      </c>
      <c r="H302" s="1">
        <v>1.480000019</v>
      </c>
      <c r="I302" s="1">
        <v>1.8899999860000001</v>
      </c>
      <c r="J302" s="1">
        <v>0</v>
      </c>
      <c r="K302" s="1">
        <v>4</v>
      </c>
      <c r="L302" s="1">
        <v>25</v>
      </c>
      <c r="M302" s="1">
        <v>150</v>
      </c>
      <c r="N302" s="1">
        <v>552</v>
      </c>
      <c r="O302" s="1">
        <v>1712</v>
      </c>
      <c r="P302" s="1" t="s">
        <v>19</v>
      </c>
      <c r="Q302" t="str">
        <f>TEXT(dailyActivity_merged[[#This Row],[ActivityDate]],"dddd")</f>
        <v>Sunday</v>
      </c>
    </row>
    <row r="303" spans="1:17" x14ac:dyDescent="0.35">
      <c r="A303" s="1">
        <v>5553957443</v>
      </c>
      <c r="B303" s="2">
        <v>42471</v>
      </c>
      <c r="C303" s="1">
        <v>11906</v>
      </c>
      <c r="D303" s="1">
        <v>7.7699999809999998</v>
      </c>
      <c r="E303" s="1">
        <v>7.7699999809999998</v>
      </c>
      <c r="F303" s="1">
        <v>0</v>
      </c>
      <c r="G303" s="1">
        <v>2.2599999899999998</v>
      </c>
      <c r="H303" s="1">
        <v>1.519999981</v>
      </c>
      <c r="I303" s="1">
        <v>3.9900000100000002</v>
      </c>
      <c r="J303" s="1">
        <v>0</v>
      </c>
      <c r="K303" s="1">
        <v>32</v>
      </c>
      <c r="L303" s="1">
        <v>27</v>
      </c>
      <c r="M303" s="1">
        <v>234</v>
      </c>
      <c r="N303" s="1">
        <v>688</v>
      </c>
      <c r="O303" s="1">
        <v>2065</v>
      </c>
      <c r="P303" s="1" t="s">
        <v>16</v>
      </c>
      <c r="Q303" t="str">
        <f>TEXT(dailyActivity_merged[[#This Row],[ActivityDate]],"dddd")</f>
        <v>Monday</v>
      </c>
    </row>
    <row r="304" spans="1:17" x14ac:dyDescent="0.35">
      <c r="A304" s="1">
        <v>5553957443</v>
      </c>
      <c r="B304" s="2">
        <v>42472</v>
      </c>
      <c r="C304" s="1">
        <v>3436</v>
      </c>
      <c r="D304" s="1">
        <v>2.2400000100000002</v>
      </c>
      <c r="E304" s="1">
        <v>2.2400000100000002</v>
      </c>
      <c r="F304" s="1">
        <v>0</v>
      </c>
      <c r="G304" s="1">
        <v>0.5</v>
      </c>
      <c r="H304" s="1">
        <v>0.670000017</v>
      </c>
      <c r="I304" s="1">
        <v>1.0499999520000001</v>
      </c>
      <c r="J304" s="1">
        <v>0</v>
      </c>
      <c r="K304" s="1">
        <v>7</v>
      </c>
      <c r="L304" s="1">
        <v>11</v>
      </c>
      <c r="M304" s="1">
        <v>50</v>
      </c>
      <c r="N304" s="1">
        <v>61</v>
      </c>
      <c r="O304" s="1">
        <v>633</v>
      </c>
      <c r="P304" s="1" t="s">
        <v>17</v>
      </c>
      <c r="Q304" t="str">
        <f>TEXT(dailyActivity_merged[[#This Row],[ActivityDate]],"dddd")</f>
        <v>Tuesday</v>
      </c>
    </row>
    <row r="305" spans="1:17" x14ac:dyDescent="0.35">
      <c r="A305" s="1">
        <v>5577150313</v>
      </c>
      <c r="B305" s="2">
        <v>42461</v>
      </c>
      <c r="C305" s="1">
        <v>10461</v>
      </c>
      <c r="D305" s="1">
        <v>7.8699998860000004</v>
      </c>
      <c r="E305" s="1">
        <v>7.8699998860000004</v>
      </c>
      <c r="F305" s="1">
        <v>0</v>
      </c>
      <c r="G305" s="1">
        <v>4.7600002290000001</v>
      </c>
      <c r="H305" s="1">
        <v>0.85000002399999997</v>
      </c>
      <c r="I305" s="1">
        <v>2.25</v>
      </c>
      <c r="J305" s="1">
        <v>0</v>
      </c>
      <c r="K305" s="1">
        <v>99</v>
      </c>
      <c r="L305" s="1">
        <v>31</v>
      </c>
      <c r="M305" s="1">
        <v>142</v>
      </c>
      <c r="N305" s="1">
        <v>721</v>
      </c>
      <c r="O305" s="1">
        <v>3625</v>
      </c>
      <c r="P305" s="1" t="s">
        <v>16</v>
      </c>
      <c r="Q305" t="str">
        <f>TEXT(dailyActivity_merged[[#This Row],[ActivityDate]],"dddd")</f>
        <v>Friday</v>
      </c>
    </row>
    <row r="306" spans="1:17" x14ac:dyDescent="0.35">
      <c r="A306" s="1">
        <v>5577150313</v>
      </c>
      <c r="B306" s="2">
        <v>42462</v>
      </c>
      <c r="C306" s="1">
        <v>14873</v>
      </c>
      <c r="D306" s="1">
        <v>11.10999966</v>
      </c>
      <c r="E306" s="1">
        <v>11.10999966</v>
      </c>
      <c r="F306" s="1">
        <v>0</v>
      </c>
      <c r="G306" s="1">
        <v>8.1899995800000003</v>
      </c>
      <c r="H306" s="1">
        <v>0.60000002399999997</v>
      </c>
      <c r="I306" s="1">
        <v>2.3099999430000002</v>
      </c>
      <c r="J306" s="1">
        <v>0</v>
      </c>
      <c r="K306" s="1">
        <v>202</v>
      </c>
      <c r="L306" s="1">
        <v>36</v>
      </c>
      <c r="M306" s="1">
        <v>153</v>
      </c>
      <c r="N306" s="1">
        <v>663</v>
      </c>
      <c r="O306" s="1">
        <v>4430</v>
      </c>
      <c r="P306" s="1" t="s">
        <v>16</v>
      </c>
      <c r="Q306" t="str">
        <f>TEXT(dailyActivity_merged[[#This Row],[ActivityDate]],"dddd")</f>
        <v>Saturday</v>
      </c>
    </row>
    <row r="307" spans="1:17" x14ac:dyDescent="0.35">
      <c r="A307" s="1">
        <v>5577150313</v>
      </c>
      <c r="B307" s="2">
        <v>42463</v>
      </c>
      <c r="C307" s="1">
        <v>9917</v>
      </c>
      <c r="D307" s="1">
        <v>7.4099998469999999</v>
      </c>
      <c r="E307" s="1">
        <v>7.4099998469999999</v>
      </c>
      <c r="F307" s="1">
        <v>0</v>
      </c>
      <c r="G307" s="1">
        <v>1.9900000099999999</v>
      </c>
      <c r="H307" s="1">
        <v>0.97000002900000004</v>
      </c>
      <c r="I307" s="1">
        <v>4.4400000569999998</v>
      </c>
      <c r="J307" s="1">
        <v>0</v>
      </c>
      <c r="K307" s="1">
        <v>58</v>
      </c>
      <c r="L307" s="1">
        <v>27</v>
      </c>
      <c r="M307" s="1">
        <v>240</v>
      </c>
      <c r="N307" s="1">
        <v>700</v>
      </c>
      <c r="O307" s="1">
        <v>3427</v>
      </c>
      <c r="P307" s="1" t="s">
        <v>18</v>
      </c>
      <c r="Q307" t="str">
        <f>TEXT(dailyActivity_merged[[#This Row],[ActivityDate]],"dddd")</f>
        <v>Sunday</v>
      </c>
    </row>
    <row r="308" spans="1:17" x14ac:dyDescent="0.35">
      <c r="A308" s="1">
        <v>5577150313</v>
      </c>
      <c r="B308" s="2">
        <v>42464</v>
      </c>
      <c r="C308" s="1">
        <v>7401</v>
      </c>
      <c r="D308" s="1">
        <v>5.5599999430000002</v>
      </c>
      <c r="E308" s="1">
        <v>5.5599999430000002</v>
      </c>
      <c r="F308" s="1">
        <v>0</v>
      </c>
      <c r="G308" s="1">
        <v>2.3199999330000001</v>
      </c>
      <c r="H308" s="1">
        <v>0.36000001399999998</v>
      </c>
      <c r="I308" s="1">
        <v>2.880000114</v>
      </c>
      <c r="J308" s="1">
        <v>0</v>
      </c>
      <c r="K308" s="1">
        <v>70</v>
      </c>
      <c r="L308" s="1">
        <v>19</v>
      </c>
      <c r="M308" s="1">
        <v>204</v>
      </c>
      <c r="N308" s="1">
        <v>689</v>
      </c>
      <c r="O308" s="1">
        <v>3492</v>
      </c>
      <c r="P308" s="1" t="s">
        <v>19</v>
      </c>
      <c r="Q308" t="str">
        <f>TEXT(dailyActivity_merged[[#This Row],[ActivityDate]],"dddd")</f>
        <v>Monday</v>
      </c>
    </row>
    <row r="309" spans="1:17" x14ac:dyDescent="0.35">
      <c r="A309" s="1">
        <v>5577150313</v>
      </c>
      <c r="B309" s="2">
        <v>42465</v>
      </c>
      <c r="C309" s="1">
        <v>8964</v>
      </c>
      <c r="D309" s="1">
        <v>6.6999998090000004</v>
      </c>
      <c r="E309" s="1">
        <v>6.6999998090000004</v>
      </c>
      <c r="F309" s="1">
        <v>0</v>
      </c>
      <c r="G309" s="1">
        <v>3.9700000289999999</v>
      </c>
      <c r="H309" s="1">
        <v>0.189999998</v>
      </c>
      <c r="I309" s="1">
        <v>2.5299999710000001</v>
      </c>
      <c r="J309" s="1">
        <v>0</v>
      </c>
      <c r="K309" s="1">
        <v>107</v>
      </c>
      <c r="L309" s="1">
        <v>18</v>
      </c>
      <c r="M309" s="1">
        <v>145</v>
      </c>
      <c r="N309" s="1">
        <v>756</v>
      </c>
      <c r="O309" s="1">
        <v>3597</v>
      </c>
      <c r="P309" s="1" t="s">
        <v>18</v>
      </c>
      <c r="Q309" t="str">
        <f>TEXT(dailyActivity_merged[[#This Row],[ActivityDate]],"dddd")</f>
        <v>Tuesday</v>
      </c>
    </row>
    <row r="310" spans="1:17" x14ac:dyDescent="0.35">
      <c r="A310" s="1">
        <v>5577150313</v>
      </c>
      <c r="B310" s="2">
        <v>42466</v>
      </c>
      <c r="C310" s="1">
        <v>11080</v>
      </c>
      <c r="D310" s="1">
        <v>8.3000001910000005</v>
      </c>
      <c r="E310" s="1">
        <v>8.3000001910000005</v>
      </c>
      <c r="F310" s="1">
        <v>0</v>
      </c>
      <c r="G310" s="1">
        <v>3.130000114</v>
      </c>
      <c r="H310" s="1">
        <v>1.3700000050000001</v>
      </c>
      <c r="I310" s="1">
        <v>3.8099999430000002</v>
      </c>
      <c r="J310" s="1">
        <v>0</v>
      </c>
      <c r="K310" s="1">
        <v>83</v>
      </c>
      <c r="L310" s="1">
        <v>52</v>
      </c>
      <c r="M310" s="1">
        <v>190</v>
      </c>
      <c r="N310" s="1">
        <v>695</v>
      </c>
      <c r="O310" s="1">
        <v>3765</v>
      </c>
      <c r="P310" s="1" t="s">
        <v>16</v>
      </c>
      <c r="Q310" t="str">
        <f>TEXT(dailyActivity_merged[[#This Row],[ActivityDate]],"dddd")</f>
        <v>Wednesday</v>
      </c>
    </row>
    <row r="311" spans="1:17" x14ac:dyDescent="0.35">
      <c r="A311" s="1">
        <v>5577150313</v>
      </c>
      <c r="B311" s="2">
        <v>42467</v>
      </c>
      <c r="C311" s="1">
        <v>4499</v>
      </c>
      <c r="D311" s="1">
        <v>3.3599998950000001</v>
      </c>
      <c r="E311" s="1">
        <v>3.3599998950000001</v>
      </c>
      <c r="F311" s="1">
        <v>0</v>
      </c>
      <c r="G311" s="1">
        <v>0.88999998599999997</v>
      </c>
      <c r="H311" s="1">
        <v>0.25999999000000001</v>
      </c>
      <c r="I311" s="1">
        <v>2.210000038</v>
      </c>
      <c r="J311" s="1">
        <v>0</v>
      </c>
      <c r="K311" s="1">
        <v>31</v>
      </c>
      <c r="L311" s="1">
        <v>11</v>
      </c>
      <c r="M311" s="1">
        <v>146</v>
      </c>
      <c r="N311" s="1">
        <v>756</v>
      </c>
      <c r="O311" s="1">
        <v>2775</v>
      </c>
      <c r="P311" s="1" t="s">
        <v>17</v>
      </c>
      <c r="Q311" t="str">
        <f>TEXT(dailyActivity_merged[[#This Row],[ActivityDate]],"dddd")</f>
        <v>Thursday</v>
      </c>
    </row>
    <row r="312" spans="1:17" x14ac:dyDescent="0.35">
      <c r="A312" s="1">
        <v>5577150313</v>
      </c>
      <c r="B312" s="2">
        <v>42468</v>
      </c>
      <c r="C312" s="1">
        <v>4363</v>
      </c>
      <c r="D312" s="1">
        <v>3.2599999899999998</v>
      </c>
      <c r="E312" s="1">
        <v>3.2599999899999998</v>
      </c>
      <c r="F312" s="1">
        <v>0</v>
      </c>
      <c r="G312" s="1">
        <v>0.12999999500000001</v>
      </c>
      <c r="H312" s="1">
        <v>5.9999998999999998E-2</v>
      </c>
      <c r="I312" s="1">
        <v>3.079999924</v>
      </c>
      <c r="J312" s="1">
        <v>0</v>
      </c>
      <c r="K312" s="1">
        <v>8</v>
      </c>
      <c r="L312" s="1">
        <v>2</v>
      </c>
      <c r="M312" s="1">
        <v>156</v>
      </c>
      <c r="N312" s="1">
        <v>813</v>
      </c>
      <c r="O312" s="1">
        <v>2486</v>
      </c>
      <c r="P312" s="1" t="s">
        <v>17</v>
      </c>
      <c r="Q312" t="str">
        <f>TEXT(dailyActivity_merged[[#This Row],[ActivityDate]],"dddd")</f>
        <v>Friday</v>
      </c>
    </row>
    <row r="313" spans="1:17" x14ac:dyDescent="0.35">
      <c r="A313" s="1">
        <v>5577150313</v>
      </c>
      <c r="B313" s="2">
        <v>42469</v>
      </c>
      <c r="C313" s="1">
        <v>10494</v>
      </c>
      <c r="D313" s="1">
        <v>7.8400001530000001</v>
      </c>
      <c r="E313" s="1">
        <v>7.8400001530000001</v>
      </c>
      <c r="F313" s="1">
        <v>0</v>
      </c>
      <c r="G313" s="1">
        <v>4.9099998469999999</v>
      </c>
      <c r="H313" s="1">
        <v>0.77999997099999996</v>
      </c>
      <c r="I313" s="1">
        <v>2.1500000950000002</v>
      </c>
      <c r="J313" s="1">
        <v>0</v>
      </c>
      <c r="K313" s="1">
        <v>123</v>
      </c>
      <c r="L313" s="1">
        <v>62</v>
      </c>
      <c r="M313" s="1">
        <v>138</v>
      </c>
      <c r="N313" s="1">
        <v>601</v>
      </c>
      <c r="O313" s="1">
        <v>3817</v>
      </c>
      <c r="P313" s="1" t="s">
        <v>16</v>
      </c>
      <c r="Q313" t="str">
        <f>TEXT(dailyActivity_merged[[#This Row],[ActivityDate]],"dddd")</f>
        <v>Saturday</v>
      </c>
    </row>
    <row r="314" spans="1:17" x14ac:dyDescent="0.35">
      <c r="A314" s="1">
        <v>5577150313</v>
      </c>
      <c r="B314" s="2">
        <v>42470</v>
      </c>
      <c r="C314" s="1">
        <v>9776</v>
      </c>
      <c r="D314" s="1">
        <v>7.3800001139999996</v>
      </c>
      <c r="E314" s="1">
        <v>7.3800001139999996</v>
      </c>
      <c r="F314" s="1">
        <v>0</v>
      </c>
      <c r="G314" s="1">
        <v>2.9300000669999999</v>
      </c>
      <c r="H314" s="1">
        <v>1.4299999480000001</v>
      </c>
      <c r="I314" s="1">
        <v>3.0199999809999998</v>
      </c>
      <c r="J314" s="1">
        <v>0</v>
      </c>
      <c r="K314" s="1">
        <v>80</v>
      </c>
      <c r="L314" s="1">
        <v>35</v>
      </c>
      <c r="M314" s="1">
        <v>162</v>
      </c>
      <c r="N314" s="1">
        <v>721</v>
      </c>
      <c r="O314" s="1">
        <v>3378</v>
      </c>
      <c r="P314" s="1" t="s">
        <v>18</v>
      </c>
      <c r="Q314" t="str">
        <f>TEXT(dailyActivity_merged[[#This Row],[ActivityDate]],"dddd")</f>
        <v>Sunday</v>
      </c>
    </row>
    <row r="315" spans="1:17" x14ac:dyDescent="0.35">
      <c r="A315" s="1">
        <v>5577150313</v>
      </c>
      <c r="B315" s="2">
        <v>42471</v>
      </c>
      <c r="C315" s="1">
        <v>2862</v>
      </c>
      <c r="D315" s="1">
        <v>2.1400001049999999</v>
      </c>
      <c r="E315" s="1">
        <v>2.1400001049999999</v>
      </c>
      <c r="F315" s="1">
        <v>0</v>
      </c>
      <c r="G315" s="1">
        <v>1.039999962</v>
      </c>
      <c r="H315" s="1">
        <v>0.25</v>
      </c>
      <c r="I315" s="1">
        <v>0.83999997400000004</v>
      </c>
      <c r="J315" s="1">
        <v>0</v>
      </c>
      <c r="K315" s="1">
        <v>39</v>
      </c>
      <c r="L315" s="1">
        <v>17</v>
      </c>
      <c r="M315" s="1">
        <v>54</v>
      </c>
      <c r="N315" s="1">
        <v>209</v>
      </c>
      <c r="O315" s="1">
        <v>1511</v>
      </c>
      <c r="P315" s="1" t="s">
        <v>17</v>
      </c>
      <c r="Q315" t="str">
        <f>TEXT(dailyActivity_merged[[#This Row],[ActivityDate]],"dddd")</f>
        <v>Monday</v>
      </c>
    </row>
    <row r="316" spans="1:17" x14ac:dyDescent="0.35">
      <c r="A316" s="1">
        <v>6117666160</v>
      </c>
      <c r="B316" s="2">
        <v>42461</v>
      </c>
      <c r="C316" s="1">
        <v>7444</v>
      </c>
      <c r="D316" s="1">
        <v>5.6199998860000004</v>
      </c>
      <c r="E316" s="1">
        <v>5.6199998860000004</v>
      </c>
      <c r="F316" s="1">
        <v>0</v>
      </c>
      <c r="G316" s="1">
        <v>0</v>
      </c>
      <c r="H316" s="1">
        <v>0</v>
      </c>
      <c r="I316" s="1">
        <v>5.6199998860000004</v>
      </c>
      <c r="J316" s="1">
        <v>0</v>
      </c>
      <c r="K316" s="1">
        <v>0</v>
      </c>
      <c r="L316" s="1">
        <v>0</v>
      </c>
      <c r="M316" s="1">
        <v>286</v>
      </c>
      <c r="N316" s="1">
        <v>568</v>
      </c>
      <c r="O316" s="1">
        <v>2210</v>
      </c>
      <c r="P316" s="1" t="s">
        <v>19</v>
      </c>
      <c r="Q316" t="str">
        <f>TEXT(dailyActivity_merged[[#This Row],[ActivityDate]],"dddd")</f>
        <v>Friday</v>
      </c>
    </row>
    <row r="317" spans="1:17" x14ac:dyDescent="0.35">
      <c r="A317" s="1">
        <v>6117666160</v>
      </c>
      <c r="B317" s="2">
        <v>42462</v>
      </c>
      <c r="C317" s="1">
        <v>19658</v>
      </c>
      <c r="D317" s="1">
        <v>14.84000015</v>
      </c>
      <c r="E317" s="1">
        <v>14.84000015</v>
      </c>
      <c r="F317" s="1">
        <v>0</v>
      </c>
      <c r="G317" s="1">
        <v>0.23999999499999999</v>
      </c>
      <c r="H317" s="1">
        <v>2.0899999139999998</v>
      </c>
      <c r="I317" s="1">
        <v>12.510000229999999</v>
      </c>
      <c r="J317" s="1">
        <v>0</v>
      </c>
      <c r="K317" s="1">
        <v>3</v>
      </c>
      <c r="L317" s="1">
        <v>30</v>
      </c>
      <c r="M317" s="1">
        <v>475</v>
      </c>
      <c r="N317" s="1">
        <v>466</v>
      </c>
      <c r="O317" s="1">
        <v>2884</v>
      </c>
      <c r="P317" s="1" t="s">
        <v>16</v>
      </c>
      <c r="Q317" t="str">
        <f>TEXT(dailyActivity_merged[[#This Row],[ActivityDate]],"dddd")</f>
        <v>Saturday</v>
      </c>
    </row>
    <row r="318" spans="1:17" x14ac:dyDescent="0.35">
      <c r="A318" s="1">
        <v>6117666160</v>
      </c>
      <c r="B318" s="2">
        <v>42463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1440</v>
      </c>
      <c r="O318" s="1">
        <v>1496</v>
      </c>
      <c r="P318" s="1" t="s">
        <v>17</v>
      </c>
      <c r="Q318" t="str">
        <f>TEXT(dailyActivity_merged[[#This Row],[ActivityDate]],"dddd")</f>
        <v>Sunday</v>
      </c>
    </row>
    <row r="319" spans="1:17" x14ac:dyDescent="0.35">
      <c r="A319" s="1">
        <v>6117666160</v>
      </c>
      <c r="B319" s="2">
        <v>42464</v>
      </c>
      <c r="C319" s="1">
        <v>8468</v>
      </c>
      <c r="D319" s="1">
        <v>6.3899998660000001</v>
      </c>
      <c r="E319" s="1">
        <v>6.3899998660000001</v>
      </c>
      <c r="F319" s="1">
        <v>0</v>
      </c>
      <c r="G319" s="1">
        <v>0.18000000699999999</v>
      </c>
      <c r="H319" s="1">
        <v>0.63999998599999997</v>
      </c>
      <c r="I319" s="1">
        <v>5.5700001720000003</v>
      </c>
      <c r="J319" s="1">
        <v>0</v>
      </c>
      <c r="K319" s="1">
        <v>2</v>
      </c>
      <c r="L319" s="1">
        <v>11</v>
      </c>
      <c r="M319" s="1">
        <v>279</v>
      </c>
      <c r="N319" s="1">
        <v>1148</v>
      </c>
      <c r="O319" s="1">
        <v>2262</v>
      </c>
      <c r="P319" s="1" t="s">
        <v>18</v>
      </c>
      <c r="Q319" t="str">
        <f>TEXT(dailyActivity_merged[[#This Row],[ActivityDate]],"dddd")</f>
        <v>Monday</v>
      </c>
    </row>
    <row r="320" spans="1:17" x14ac:dyDescent="0.35">
      <c r="A320" s="1">
        <v>6117666160</v>
      </c>
      <c r="B320" s="2">
        <v>42465</v>
      </c>
      <c r="C320" s="1">
        <v>9910</v>
      </c>
      <c r="D320" s="1">
        <v>7.4800000190000002</v>
      </c>
      <c r="E320" s="1">
        <v>7.4800000190000002</v>
      </c>
      <c r="F320" s="1">
        <v>0</v>
      </c>
      <c r="G320" s="1">
        <v>0</v>
      </c>
      <c r="H320" s="1">
        <v>0</v>
      </c>
      <c r="I320" s="1">
        <v>7.4800000190000002</v>
      </c>
      <c r="J320" s="1">
        <v>0</v>
      </c>
      <c r="K320" s="1">
        <v>0</v>
      </c>
      <c r="L320" s="1">
        <v>0</v>
      </c>
      <c r="M320" s="1">
        <v>384</v>
      </c>
      <c r="N320" s="1">
        <v>990</v>
      </c>
      <c r="O320" s="1">
        <v>2445</v>
      </c>
      <c r="P320" s="1" t="s">
        <v>18</v>
      </c>
      <c r="Q320" t="str">
        <f>TEXT(dailyActivity_merged[[#This Row],[ActivityDate]],"dddd")</f>
        <v>Tuesday</v>
      </c>
    </row>
    <row r="321" spans="1:17" x14ac:dyDescent="0.35">
      <c r="A321" s="1">
        <v>6117666160</v>
      </c>
      <c r="B321" s="2">
        <v>42466</v>
      </c>
      <c r="C321" s="1">
        <v>12409</v>
      </c>
      <c r="D321" s="1">
        <v>9.3699998860000004</v>
      </c>
      <c r="E321" s="1">
        <v>9.3699998860000004</v>
      </c>
      <c r="F321" s="1">
        <v>0</v>
      </c>
      <c r="G321" s="1">
        <v>0</v>
      </c>
      <c r="H321" s="1">
        <v>0</v>
      </c>
      <c r="I321" s="1">
        <v>9.3699998860000004</v>
      </c>
      <c r="J321" s="1">
        <v>0</v>
      </c>
      <c r="K321" s="1">
        <v>0</v>
      </c>
      <c r="L321" s="1">
        <v>0</v>
      </c>
      <c r="M321" s="1">
        <v>491</v>
      </c>
      <c r="N321" s="1">
        <v>388</v>
      </c>
      <c r="O321" s="1">
        <v>2694</v>
      </c>
      <c r="P321" s="1" t="s">
        <v>16</v>
      </c>
      <c r="Q321" t="str">
        <f>TEXT(dailyActivity_merged[[#This Row],[ActivityDate]],"dddd")</f>
        <v>Wednesday</v>
      </c>
    </row>
    <row r="322" spans="1:17" x14ac:dyDescent="0.35">
      <c r="A322" s="1">
        <v>6117666160</v>
      </c>
      <c r="B322" s="2">
        <v>42467</v>
      </c>
      <c r="C322" s="1">
        <v>4853</v>
      </c>
      <c r="D322" s="1">
        <v>3.6600000860000002</v>
      </c>
      <c r="E322" s="1">
        <v>3.6600000860000002</v>
      </c>
      <c r="F322" s="1">
        <v>0</v>
      </c>
      <c r="G322" s="1">
        <v>0</v>
      </c>
      <c r="H322" s="1">
        <v>0</v>
      </c>
      <c r="I322" s="1">
        <v>3.6600000860000002</v>
      </c>
      <c r="J322" s="1">
        <v>0</v>
      </c>
      <c r="K322" s="1">
        <v>0</v>
      </c>
      <c r="L322" s="1">
        <v>0</v>
      </c>
      <c r="M322" s="1">
        <v>156</v>
      </c>
      <c r="N322" s="1">
        <v>770</v>
      </c>
      <c r="O322" s="1">
        <v>1903</v>
      </c>
      <c r="P322" s="1" t="s">
        <v>17</v>
      </c>
      <c r="Q322" t="str">
        <f>TEXT(dailyActivity_merged[[#This Row],[ActivityDate]],"dddd")</f>
        <v>Thursday</v>
      </c>
    </row>
    <row r="323" spans="1:17" x14ac:dyDescent="0.35">
      <c r="A323" s="1">
        <v>6117666160</v>
      </c>
      <c r="B323" s="2">
        <v>42468</v>
      </c>
      <c r="C323" s="1">
        <v>8955</v>
      </c>
      <c r="D323" s="1">
        <v>6.7600002290000001</v>
      </c>
      <c r="E323" s="1">
        <v>6.7600002290000001</v>
      </c>
      <c r="F323" s="1">
        <v>0</v>
      </c>
      <c r="G323" s="1">
        <v>0</v>
      </c>
      <c r="H323" s="1">
        <v>0</v>
      </c>
      <c r="I323" s="1">
        <v>6.7300000190000002</v>
      </c>
      <c r="J323" s="1">
        <v>0</v>
      </c>
      <c r="K323" s="1">
        <v>0</v>
      </c>
      <c r="L323" s="1">
        <v>0</v>
      </c>
      <c r="M323" s="1">
        <v>422</v>
      </c>
      <c r="N323" s="1">
        <v>1018</v>
      </c>
      <c r="O323" s="1">
        <v>2482</v>
      </c>
      <c r="P323" s="1" t="s">
        <v>18</v>
      </c>
      <c r="Q323" t="str">
        <f>TEXT(dailyActivity_merged[[#This Row],[ActivityDate]],"dddd")</f>
        <v>Friday</v>
      </c>
    </row>
    <row r="324" spans="1:17" x14ac:dyDescent="0.35">
      <c r="A324" s="1">
        <v>6117666160</v>
      </c>
      <c r="B324" s="2">
        <v>42469</v>
      </c>
      <c r="C324" s="1">
        <v>10789</v>
      </c>
      <c r="D324" s="1">
        <v>8.1499996190000008</v>
      </c>
      <c r="E324" s="1">
        <v>8.1499996190000008</v>
      </c>
      <c r="F324" s="1">
        <v>0</v>
      </c>
      <c r="G324" s="1">
        <v>0</v>
      </c>
      <c r="H324" s="1">
        <v>0</v>
      </c>
      <c r="I324" s="1">
        <v>8.1499996190000008</v>
      </c>
      <c r="J324" s="1">
        <v>0</v>
      </c>
      <c r="K324" s="1">
        <v>0</v>
      </c>
      <c r="L324" s="1">
        <v>0</v>
      </c>
      <c r="M324" s="1">
        <v>506</v>
      </c>
      <c r="N324" s="1">
        <v>413</v>
      </c>
      <c r="O324" s="1">
        <v>2617</v>
      </c>
      <c r="P324" s="1" t="s">
        <v>16</v>
      </c>
      <c r="Q324" t="str">
        <f>TEXT(dailyActivity_merged[[#This Row],[ActivityDate]],"dddd")</f>
        <v>Saturday</v>
      </c>
    </row>
    <row r="325" spans="1:17" x14ac:dyDescent="0.35">
      <c r="A325" s="1">
        <v>6117666160</v>
      </c>
      <c r="B325" s="2">
        <v>42470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1440</v>
      </c>
      <c r="O325" s="1">
        <v>0</v>
      </c>
      <c r="P325" s="1" t="s">
        <v>17</v>
      </c>
      <c r="Q325" t="str">
        <f>TEXT(dailyActivity_merged[[#This Row],[ActivityDate]],"dddd")</f>
        <v>Sunday</v>
      </c>
    </row>
    <row r="326" spans="1:17" x14ac:dyDescent="0.35">
      <c r="A326" s="1">
        <v>6290855005</v>
      </c>
      <c r="B326" s="2">
        <v>42461</v>
      </c>
      <c r="C326" s="1">
        <v>6633</v>
      </c>
      <c r="D326" s="1">
        <v>5.0100002290000001</v>
      </c>
      <c r="E326" s="1">
        <v>5.0100002290000001</v>
      </c>
      <c r="F326" s="1">
        <v>0</v>
      </c>
      <c r="G326" s="1">
        <v>0</v>
      </c>
      <c r="H326" s="1">
        <v>0</v>
      </c>
      <c r="I326" s="1">
        <v>5.0100002290000001</v>
      </c>
      <c r="J326" s="1">
        <v>0</v>
      </c>
      <c r="K326" s="1">
        <v>0</v>
      </c>
      <c r="L326" s="1">
        <v>0</v>
      </c>
      <c r="M326" s="1">
        <v>280</v>
      </c>
      <c r="N326" s="1">
        <v>1160</v>
      </c>
      <c r="O326" s="1">
        <v>2778</v>
      </c>
      <c r="P326" s="1" t="s">
        <v>19</v>
      </c>
      <c r="Q326" t="str">
        <f>TEXT(dailyActivity_merged[[#This Row],[ActivityDate]],"dddd")</f>
        <v>Friday</v>
      </c>
    </row>
    <row r="327" spans="1:17" x14ac:dyDescent="0.35">
      <c r="A327" s="1">
        <v>6290855005</v>
      </c>
      <c r="B327" s="2">
        <v>42462</v>
      </c>
      <c r="C327" s="1">
        <v>9548</v>
      </c>
      <c r="D327" s="1">
        <v>7.2199997900000001</v>
      </c>
      <c r="E327" s="1">
        <v>7.2199997900000001</v>
      </c>
      <c r="F327" s="1">
        <v>0</v>
      </c>
      <c r="G327" s="1">
        <v>2.0199999809999998</v>
      </c>
      <c r="H327" s="1">
        <v>3.6800000669999999</v>
      </c>
      <c r="I327" s="1">
        <v>1.519999981</v>
      </c>
      <c r="J327" s="1">
        <v>0</v>
      </c>
      <c r="K327" s="1">
        <v>25</v>
      </c>
      <c r="L327" s="1">
        <v>107</v>
      </c>
      <c r="M327" s="1">
        <v>113</v>
      </c>
      <c r="N327" s="1">
        <v>1195</v>
      </c>
      <c r="O327" s="1">
        <v>3119</v>
      </c>
      <c r="P327" s="1" t="s">
        <v>18</v>
      </c>
      <c r="Q327" t="str">
        <f>TEXT(dailyActivity_merged[[#This Row],[ActivityDate]],"dddd")</f>
        <v>Saturday</v>
      </c>
    </row>
    <row r="328" spans="1:17" x14ac:dyDescent="0.35">
      <c r="A328" s="1">
        <v>6290855005</v>
      </c>
      <c r="B328" s="2">
        <v>42463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33</v>
      </c>
      <c r="L328" s="1">
        <v>0</v>
      </c>
      <c r="M328" s="1">
        <v>0</v>
      </c>
      <c r="N328" s="1">
        <v>1407</v>
      </c>
      <c r="O328" s="1">
        <v>2664</v>
      </c>
      <c r="P328" s="1" t="s">
        <v>17</v>
      </c>
      <c r="Q328" t="str">
        <f>TEXT(dailyActivity_merged[[#This Row],[ActivityDate]],"dddd")</f>
        <v>Sunday</v>
      </c>
    </row>
    <row r="329" spans="1:17" x14ac:dyDescent="0.35">
      <c r="A329" s="1">
        <v>6290855005</v>
      </c>
      <c r="B329" s="2">
        <v>42464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1440</v>
      </c>
      <c r="O329" s="1">
        <v>2060</v>
      </c>
      <c r="P329" s="1" t="s">
        <v>17</v>
      </c>
      <c r="Q329" t="str">
        <f>TEXT(dailyActivity_merged[[#This Row],[ActivityDate]],"dddd")</f>
        <v>Monday</v>
      </c>
    </row>
    <row r="330" spans="1:17" x14ac:dyDescent="0.35">
      <c r="A330" s="1">
        <v>6290855005</v>
      </c>
      <c r="B330" s="2">
        <v>42465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1440</v>
      </c>
      <c r="O330" s="1">
        <v>2060</v>
      </c>
      <c r="P330" s="1" t="s">
        <v>17</v>
      </c>
      <c r="Q330" t="str">
        <f>TEXT(dailyActivity_merged[[#This Row],[ActivityDate]],"dddd")</f>
        <v>Tuesday</v>
      </c>
    </row>
    <row r="331" spans="1:17" x14ac:dyDescent="0.35">
      <c r="A331" s="1">
        <v>6290855005</v>
      </c>
      <c r="B331" s="2">
        <v>42466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1440</v>
      </c>
      <c r="O331" s="1">
        <v>2060</v>
      </c>
      <c r="P331" s="1" t="s">
        <v>17</v>
      </c>
      <c r="Q331" t="str">
        <f>TEXT(dailyActivity_merged[[#This Row],[ActivityDate]],"dddd")</f>
        <v>Wednesday</v>
      </c>
    </row>
    <row r="332" spans="1:17" x14ac:dyDescent="0.35">
      <c r="A332" s="1">
        <v>6290855005</v>
      </c>
      <c r="B332" s="2">
        <v>42467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1440</v>
      </c>
      <c r="O332" s="1">
        <v>2060</v>
      </c>
      <c r="P332" s="1" t="s">
        <v>17</v>
      </c>
      <c r="Q332" t="str">
        <f>TEXT(dailyActivity_merged[[#This Row],[ActivityDate]],"dddd")</f>
        <v>Thursday</v>
      </c>
    </row>
    <row r="333" spans="1:17" x14ac:dyDescent="0.35">
      <c r="A333" s="1">
        <v>6290855005</v>
      </c>
      <c r="B333" s="2">
        <v>42468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1440</v>
      </c>
      <c r="O333" s="1">
        <v>2060</v>
      </c>
      <c r="P333" s="1" t="s">
        <v>17</v>
      </c>
      <c r="Q333" t="str">
        <f>TEXT(dailyActivity_merged[[#This Row],[ActivityDate]],"dddd")</f>
        <v>Friday</v>
      </c>
    </row>
    <row r="334" spans="1:17" x14ac:dyDescent="0.35">
      <c r="A334" s="1">
        <v>6290855005</v>
      </c>
      <c r="B334" s="2">
        <v>42469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1440</v>
      </c>
      <c r="O334" s="1">
        <v>2060</v>
      </c>
      <c r="P334" s="1" t="s">
        <v>17</v>
      </c>
      <c r="Q334" t="str">
        <f>TEXT(dailyActivity_merged[[#This Row],[ActivityDate]],"dddd")</f>
        <v>Saturday</v>
      </c>
    </row>
    <row r="335" spans="1:17" x14ac:dyDescent="0.35">
      <c r="A335" s="1">
        <v>6290855005</v>
      </c>
      <c r="B335" s="2">
        <v>42470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20</v>
      </c>
      <c r="L335" s="1">
        <v>0</v>
      </c>
      <c r="M335" s="1">
        <v>0</v>
      </c>
      <c r="N335" s="1">
        <v>494</v>
      </c>
      <c r="O335" s="1">
        <v>735</v>
      </c>
      <c r="P335" s="1" t="s">
        <v>17</v>
      </c>
      <c r="Q335" t="str">
        <f>TEXT(dailyActivity_merged[[#This Row],[ActivityDate]],"dddd")</f>
        <v>Sunday</v>
      </c>
    </row>
    <row r="336" spans="1:17" x14ac:dyDescent="0.35">
      <c r="A336" s="1">
        <v>6391747486</v>
      </c>
      <c r="B336" s="2">
        <v>42461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1440</v>
      </c>
      <c r="O336" s="1">
        <v>1820</v>
      </c>
      <c r="P336" s="1" t="s">
        <v>17</v>
      </c>
      <c r="Q336" t="str">
        <f>TEXT(dailyActivity_merged[[#This Row],[ActivityDate]],"dddd")</f>
        <v>Friday</v>
      </c>
    </row>
    <row r="337" spans="1:17" x14ac:dyDescent="0.35">
      <c r="A337" s="1">
        <v>6391747486</v>
      </c>
      <c r="B337" s="2">
        <v>42462</v>
      </c>
      <c r="C337" s="1">
        <v>2101</v>
      </c>
      <c r="D337" s="1">
        <v>2.0299999710000001</v>
      </c>
      <c r="E337" s="1">
        <v>0</v>
      </c>
      <c r="F337" s="1">
        <v>2.0277729029999998</v>
      </c>
      <c r="G337" s="1">
        <v>2.0299999710000001</v>
      </c>
      <c r="H337" s="1">
        <v>0</v>
      </c>
      <c r="I337" s="1">
        <v>0</v>
      </c>
      <c r="J337" s="1">
        <v>0</v>
      </c>
      <c r="K337" s="1">
        <v>46</v>
      </c>
      <c r="L337" s="1">
        <v>0</v>
      </c>
      <c r="M337" s="1">
        <v>0</v>
      </c>
      <c r="N337" s="1">
        <v>1394</v>
      </c>
      <c r="O337" s="1">
        <v>2224</v>
      </c>
      <c r="P337" s="1" t="s">
        <v>17</v>
      </c>
      <c r="Q337" t="str">
        <f>TEXT(dailyActivity_merged[[#This Row],[ActivityDate]],"dddd")</f>
        <v>Saturday</v>
      </c>
    </row>
    <row r="338" spans="1:17" x14ac:dyDescent="0.35">
      <c r="A338" s="1">
        <v>6391747486</v>
      </c>
      <c r="B338" s="2">
        <v>42463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1440</v>
      </c>
      <c r="O338" s="1">
        <v>1820</v>
      </c>
      <c r="P338" s="1" t="s">
        <v>17</v>
      </c>
      <c r="Q338" t="str">
        <f>TEXT(dailyActivity_merged[[#This Row],[ActivityDate]],"dddd")</f>
        <v>Sunday</v>
      </c>
    </row>
    <row r="339" spans="1:17" x14ac:dyDescent="0.35">
      <c r="A339" s="1">
        <v>6391747486</v>
      </c>
      <c r="B339" s="2">
        <v>42464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1440</v>
      </c>
      <c r="O339" s="1">
        <v>1820</v>
      </c>
      <c r="P339" s="1" t="s">
        <v>17</v>
      </c>
      <c r="Q339" t="str">
        <f>TEXT(dailyActivity_merged[[#This Row],[ActivityDate]],"dddd")</f>
        <v>Monday</v>
      </c>
    </row>
    <row r="340" spans="1:17" x14ac:dyDescent="0.35">
      <c r="A340" s="1">
        <v>6391747486</v>
      </c>
      <c r="B340" s="2">
        <v>42465</v>
      </c>
      <c r="C340" s="1">
        <v>9766</v>
      </c>
      <c r="D340" s="1">
        <v>7.5100002290000001</v>
      </c>
      <c r="E340" s="1">
        <v>0.77999997099999996</v>
      </c>
      <c r="F340" s="1">
        <v>6.7270569800000004</v>
      </c>
      <c r="G340" s="1">
        <v>0</v>
      </c>
      <c r="H340" s="1">
        <v>5.0000001000000002E-2</v>
      </c>
      <c r="I340" s="1">
        <v>7.4600000380000004</v>
      </c>
      <c r="J340" s="1">
        <v>0</v>
      </c>
      <c r="K340" s="1">
        <v>0</v>
      </c>
      <c r="L340" s="1">
        <v>6</v>
      </c>
      <c r="M340" s="1">
        <v>301</v>
      </c>
      <c r="N340" s="1">
        <v>1133</v>
      </c>
      <c r="O340" s="1">
        <v>2442</v>
      </c>
      <c r="P340" s="1" t="s">
        <v>18</v>
      </c>
      <c r="Q340" t="str">
        <f>TEXT(dailyActivity_merged[[#This Row],[ActivityDate]],"dddd")</f>
        <v>Tuesday</v>
      </c>
    </row>
    <row r="341" spans="1:17" x14ac:dyDescent="0.35">
      <c r="A341" s="1">
        <v>6391747486</v>
      </c>
      <c r="B341" s="2">
        <v>42466</v>
      </c>
      <c r="C341" s="1">
        <v>165</v>
      </c>
      <c r="D341" s="1">
        <v>0.12999999500000001</v>
      </c>
      <c r="E341" s="1">
        <v>0.12999999500000001</v>
      </c>
      <c r="F341" s="1">
        <v>0</v>
      </c>
      <c r="G341" s="1">
        <v>0</v>
      </c>
      <c r="H341" s="1">
        <v>0</v>
      </c>
      <c r="I341" s="1">
        <v>0.12999999500000001</v>
      </c>
      <c r="J341" s="1">
        <v>0</v>
      </c>
      <c r="K341" s="1">
        <v>0</v>
      </c>
      <c r="L341" s="1">
        <v>0</v>
      </c>
      <c r="M341" s="1">
        <v>8</v>
      </c>
      <c r="N341" s="1">
        <v>1432</v>
      </c>
      <c r="O341" s="1">
        <v>1849</v>
      </c>
      <c r="P341" s="1" t="s">
        <v>17</v>
      </c>
      <c r="Q341" t="str">
        <f>TEXT(dailyActivity_merged[[#This Row],[ActivityDate]],"dddd")</f>
        <v>Wednesday</v>
      </c>
    </row>
    <row r="342" spans="1:17" x14ac:dyDescent="0.35">
      <c r="A342" s="1">
        <v>6391747486</v>
      </c>
      <c r="B342" s="2">
        <v>42467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1440</v>
      </c>
      <c r="O342" s="1">
        <v>1822</v>
      </c>
      <c r="P342" s="1" t="s">
        <v>17</v>
      </c>
      <c r="Q342" t="str">
        <f>TEXT(dailyActivity_merged[[#This Row],[ActivityDate]],"dddd")</f>
        <v>Thursday</v>
      </c>
    </row>
    <row r="343" spans="1:17" x14ac:dyDescent="0.35">
      <c r="A343" s="1">
        <v>6391747486</v>
      </c>
      <c r="B343" s="2">
        <v>42468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1440</v>
      </c>
      <c r="O343" s="1">
        <v>1820</v>
      </c>
      <c r="P343" s="1" t="s">
        <v>17</v>
      </c>
      <c r="Q343" t="str">
        <f>TEXT(dailyActivity_merged[[#This Row],[ActivityDate]],"dddd")</f>
        <v>Friday</v>
      </c>
    </row>
    <row r="344" spans="1:17" x14ac:dyDescent="0.35">
      <c r="A344" s="1">
        <v>6391747486</v>
      </c>
      <c r="B344" s="2">
        <v>42469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198</v>
      </c>
      <c r="O344" s="1">
        <v>251</v>
      </c>
      <c r="P344" s="1" t="s">
        <v>17</v>
      </c>
      <c r="Q344" t="str">
        <f>TEXT(dailyActivity_merged[[#This Row],[ActivityDate]],"dddd")</f>
        <v>Saturday</v>
      </c>
    </row>
    <row r="345" spans="1:17" x14ac:dyDescent="0.35">
      <c r="A345" s="1">
        <v>6775888955</v>
      </c>
      <c r="B345" s="2">
        <v>42461</v>
      </c>
      <c r="C345" s="1">
        <v>7225</v>
      </c>
      <c r="D345" s="1">
        <v>5.1799998279999997</v>
      </c>
      <c r="E345" s="1">
        <v>5.1799998279999997</v>
      </c>
      <c r="F345" s="1">
        <v>0</v>
      </c>
      <c r="G345" s="1">
        <v>1.730000019</v>
      </c>
      <c r="H345" s="1">
        <v>1.269999981</v>
      </c>
      <c r="I345" s="1">
        <v>2.1800000669999999</v>
      </c>
      <c r="J345" s="1">
        <v>0</v>
      </c>
      <c r="K345" s="1">
        <v>25</v>
      </c>
      <c r="L345" s="1">
        <v>50</v>
      </c>
      <c r="M345" s="1">
        <v>163</v>
      </c>
      <c r="N345" s="1">
        <v>1189</v>
      </c>
      <c r="O345" s="1">
        <v>3065</v>
      </c>
      <c r="P345" s="1" t="s">
        <v>19</v>
      </c>
      <c r="Q345" t="str">
        <f>TEXT(dailyActivity_merged[[#This Row],[ActivityDate]],"dddd")</f>
        <v>Friday</v>
      </c>
    </row>
    <row r="346" spans="1:17" x14ac:dyDescent="0.35">
      <c r="A346" s="1">
        <v>6775888955</v>
      </c>
      <c r="B346" s="2">
        <v>42462</v>
      </c>
      <c r="C346" s="1">
        <v>1988</v>
      </c>
      <c r="D346" s="1">
        <v>1.4299999480000001</v>
      </c>
      <c r="E346" s="1">
        <v>1.4299999480000001</v>
      </c>
      <c r="F346" s="1">
        <v>0</v>
      </c>
      <c r="G346" s="1">
        <v>0</v>
      </c>
      <c r="H346" s="1">
        <v>0</v>
      </c>
      <c r="I346" s="1">
        <v>1.4299999480000001</v>
      </c>
      <c r="J346" s="1">
        <v>0</v>
      </c>
      <c r="K346" s="1">
        <v>0</v>
      </c>
      <c r="L346" s="1">
        <v>0</v>
      </c>
      <c r="M346" s="1">
        <v>79</v>
      </c>
      <c r="N346" s="1">
        <v>909</v>
      </c>
      <c r="O346" s="1">
        <v>2207</v>
      </c>
      <c r="P346" s="1" t="s">
        <v>17</v>
      </c>
      <c r="Q346" t="str">
        <f>TEXT(dailyActivity_merged[[#This Row],[ActivityDate]],"dddd")</f>
        <v>Saturday</v>
      </c>
    </row>
    <row r="347" spans="1:17" x14ac:dyDescent="0.35">
      <c r="A347" s="1">
        <v>6775888955</v>
      </c>
      <c r="B347" s="2">
        <v>42463</v>
      </c>
      <c r="C347" s="1">
        <v>1577</v>
      </c>
      <c r="D347" s="1">
        <v>1.1299999949999999</v>
      </c>
      <c r="E347" s="1">
        <v>1.1299999949999999</v>
      </c>
      <c r="F347" s="1">
        <v>0</v>
      </c>
      <c r="G347" s="1">
        <v>7.0000000000000007E-2</v>
      </c>
      <c r="H347" s="1">
        <v>0.88999998599999997</v>
      </c>
      <c r="I347" s="1">
        <v>0.17000000200000001</v>
      </c>
      <c r="J347" s="1">
        <v>0</v>
      </c>
      <c r="K347" s="1">
        <v>1</v>
      </c>
      <c r="L347" s="1">
        <v>17</v>
      </c>
      <c r="M347" s="1">
        <v>8</v>
      </c>
      <c r="N347" s="1">
        <v>1414</v>
      </c>
      <c r="O347" s="1">
        <v>1977</v>
      </c>
      <c r="P347" s="1" t="s">
        <v>17</v>
      </c>
      <c r="Q347" t="str">
        <f>TEXT(dailyActivity_merged[[#This Row],[ActivityDate]],"dddd")</f>
        <v>Sunday</v>
      </c>
    </row>
    <row r="348" spans="1:17" x14ac:dyDescent="0.35">
      <c r="A348" s="1">
        <v>6775888955</v>
      </c>
      <c r="B348" s="2">
        <v>42464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1440</v>
      </c>
      <c r="O348" s="1">
        <v>1841</v>
      </c>
      <c r="P348" s="1" t="s">
        <v>17</v>
      </c>
      <c r="Q348" t="str">
        <f>TEXT(dailyActivity_merged[[#This Row],[ActivityDate]],"dddd")</f>
        <v>Monday</v>
      </c>
    </row>
    <row r="349" spans="1:17" x14ac:dyDescent="0.35">
      <c r="A349" s="1">
        <v>6775888955</v>
      </c>
      <c r="B349" s="2">
        <v>42465</v>
      </c>
      <c r="C349" s="1">
        <v>9348</v>
      </c>
      <c r="D349" s="1">
        <v>6.6999998090000004</v>
      </c>
      <c r="E349" s="1">
        <v>6.6999998090000004</v>
      </c>
      <c r="F349" s="1">
        <v>0</v>
      </c>
      <c r="G349" s="1">
        <v>1.1299999949999999</v>
      </c>
      <c r="H349" s="1">
        <v>2.039999962</v>
      </c>
      <c r="I349" s="1">
        <v>3.1400001049999999</v>
      </c>
      <c r="J349" s="1">
        <v>0</v>
      </c>
      <c r="K349" s="1">
        <v>56</v>
      </c>
      <c r="L349" s="1">
        <v>133</v>
      </c>
      <c r="M349" s="1">
        <v>240</v>
      </c>
      <c r="N349" s="1">
        <v>1011</v>
      </c>
      <c r="O349" s="1">
        <v>4286</v>
      </c>
      <c r="P349" s="1" t="s">
        <v>18</v>
      </c>
      <c r="Q349" t="str">
        <f>TEXT(dailyActivity_merged[[#This Row],[ActivityDate]],"dddd")</f>
        <v>Tuesday</v>
      </c>
    </row>
    <row r="350" spans="1:17" x14ac:dyDescent="0.35">
      <c r="A350" s="1">
        <v>6775888955</v>
      </c>
      <c r="B350" s="2">
        <v>42466</v>
      </c>
      <c r="C350" s="1">
        <v>11761</v>
      </c>
      <c r="D350" s="1">
        <v>8.4300003050000001</v>
      </c>
      <c r="E350" s="1">
        <v>8.4300003050000001</v>
      </c>
      <c r="F350" s="1">
        <v>0</v>
      </c>
      <c r="G350" s="1">
        <v>1.309999943</v>
      </c>
      <c r="H350" s="1">
        <v>2.4400000569999998</v>
      </c>
      <c r="I350" s="1">
        <v>4.6799998279999997</v>
      </c>
      <c r="J350" s="1">
        <v>0</v>
      </c>
      <c r="K350" s="1">
        <v>24</v>
      </c>
      <c r="L350" s="1">
        <v>99</v>
      </c>
      <c r="M350" s="1">
        <v>300</v>
      </c>
      <c r="N350" s="1">
        <v>550</v>
      </c>
      <c r="O350" s="1">
        <v>3920</v>
      </c>
      <c r="P350" s="1" t="s">
        <v>16</v>
      </c>
      <c r="Q350" t="str">
        <f>TEXT(dailyActivity_merged[[#This Row],[ActivityDate]],"dddd")</f>
        <v>Wednesday</v>
      </c>
    </row>
    <row r="351" spans="1:17" x14ac:dyDescent="0.35">
      <c r="A351" s="1">
        <v>6775888955</v>
      </c>
      <c r="B351" s="2">
        <v>42467</v>
      </c>
      <c r="C351" s="1">
        <v>13987</v>
      </c>
      <c r="D351" s="1">
        <v>10.02999973</v>
      </c>
      <c r="E351" s="1">
        <v>10.02999973</v>
      </c>
      <c r="F351" s="1">
        <v>0</v>
      </c>
      <c r="G351" s="1">
        <v>2.869999886</v>
      </c>
      <c r="H351" s="1">
        <v>3.3399999139999998</v>
      </c>
      <c r="I351" s="1">
        <v>3.8199999330000001</v>
      </c>
      <c r="J351" s="1">
        <v>0</v>
      </c>
      <c r="K351" s="1">
        <v>46</v>
      </c>
      <c r="L351" s="1">
        <v>114</v>
      </c>
      <c r="M351" s="1">
        <v>250</v>
      </c>
      <c r="N351" s="1">
        <v>739</v>
      </c>
      <c r="O351" s="1">
        <v>3856</v>
      </c>
      <c r="P351" s="1" t="s">
        <v>16</v>
      </c>
      <c r="Q351" t="str">
        <f>TEXT(dailyActivity_merged[[#This Row],[ActivityDate]],"dddd")</f>
        <v>Thursday</v>
      </c>
    </row>
    <row r="352" spans="1:17" x14ac:dyDescent="0.35">
      <c r="A352" s="1">
        <v>6775888955</v>
      </c>
      <c r="B352" s="2">
        <v>42468</v>
      </c>
      <c r="C352" s="1">
        <v>4131</v>
      </c>
      <c r="D352" s="1">
        <v>2.960000038</v>
      </c>
      <c r="E352" s="1">
        <v>2.960000038</v>
      </c>
      <c r="F352" s="1">
        <v>0</v>
      </c>
      <c r="G352" s="1">
        <v>1.3700000050000001</v>
      </c>
      <c r="H352" s="1">
        <v>0.61000001400000003</v>
      </c>
      <c r="I352" s="1">
        <v>0.980000019</v>
      </c>
      <c r="J352" s="1">
        <v>0</v>
      </c>
      <c r="K352" s="1">
        <v>27</v>
      </c>
      <c r="L352" s="1">
        <v>30</v>
      </c>
      <c r="M352" s="1">
        <v>75</v>
      </c>
      <c r="N352" s="1">
        <v>1308</v>
      </c>
      <c r="O352" s="1">
        <v>2584</v>
      </c>
      <c r="P352" s="1" t="s">
        <v>17</v>
      </c>
      <c r="Q352" t="str">
        <f>TEXT(dailyActivity_merged[[#This Row],[ActivityDate]],"dddd")</f>
        <v>Friday</v>
      </c>
    </row>
    <row r="353" spans="1:17" x14ac:dyDescent="0.35">
      <c r="A353" s="1">
        <v>6775888955</v>
      </c>
      <c r="B353" s="2">
        <v>42469</v>
      </c>
      <c r="C353" s="1">
        <v>14</v>
      </c>
      <c r="D353" s="1">
        <v>0.01</v>
      </c>
      <c r="E353" s="1">
        <v>0.01</v>
      </c>
      <c r="F353" s="1">
        <v>0</v>
      </c>
      <c r="G353" s="1">
        <v>0</v>
      </c>
      <c r="H353" s="1">
        <v>0</v>
      </c>
      <c r="I353" s="1">
        <v>0.01</v>
      </c>
      <c r="J353" s="1">
        <v>0</v>
      </c>
      <c r="K353" s="1">
        <v>0</v>
      </c>
      <c r="L353" s="1">
        <v>0</v>
      </c>
      <c r="M353" s="1">
        <v>1</v>
      </c>
      <c r="N353" s="1">
        <v>601</v>
      </c>
      <c r="O353" s="1">
        <v>787</v>
      </c>
      <c r="P353" s="1" t="s">
        <v>17</v>
      </c>
      <c r="Q353" t="str">
        <f>TEXT(dailyActivity_merged[[#This Row],[ActivityDate]],"dddd")</f>
        <v>Saturday</v>
      </c>
    </row>
    <row r="354" spans="1:17" x14ac:dyDescent="0.35">
      <c r="A354" s="1">
        <v>6962181067</v>
      </c>
      <c r="B354" s="2">
        <v>42459</v>
      </c>
      <c r="C354" s="1">
        <v>15491</v>
      </c>
      <c r="D354" s="1">
        <v>10.239999770000001</v>
      </c>
      <c r="E354" s="1">
        <v>10.239999770000001</v>
      </c>
      <c r="F354" s="1">
        <v>0</v>
      </c>
      <c r="G354" s="1">
        <v>1.289999962</v>
      </c>
      <c r="H354" s="1">
        <v>4.4899997709999999</v>
      </c>
      <c r="I354" s="1">
        <v>4.4600000380000004</v>
      </c>
      <c r="J354" s="1">
        <v>0</v>
      </c>
      <c r="K354" s="1">
        <v>18</v>
      </c>
      <c r="L354" s="1">
        <v>77</v>
      </c>
      <c r="M354" s="1">
        <v>272</v>
      </c>
      <c r="N354" s="1">
        <v>641</v>
      </c>
      <c r="O354" s="1">
        <v>2244</v>
      </c>
      <c r="P354" s="1" t="s">
        <v>16</v>
      </c>
      <c r="Q354" t="str">
        <f>TEXT(dailyActivity_merged[[#This Row],[ActivityDate]],"dddd")</f>
        <v>Wednesday</v>
      </c>
    </row>
    <row r="355" spans="1:17" x14ac:dyDescent="0.35">
      <c r="A355" s="1">
        <v>6962181067</v>
      </c>
      <c r="B355" s="2">
        <v>42460</v>
      </c>
      <c r="C355" s="1">
        <v>14097</v>
      </c>
      <c r="D355" s="1">
        <v>9.3199996949999999</v>
      </c>
      <c r="E355" s="1">
        <v>9.3199996949999999</v>
      </c>
      <c r="F355" s="1">
        <v>0</v>
      </c>
      <c r="G355" s="1">
        <v>3.5</v>
      </c>
      <c r="H355" s="1">
        <v>1.9199999569999999</v>
      </c>
      <c r="I355" s="1">
        <v>3.9000000950000002</v>
      </c>
      <c r="J355" s="1">
        <v>0</v>
      </c>
      <c r="K355" s="1">
        <v>50</v>
      </c>
      <c r="L355" s="1">
        <v>32</v>
      </c>
      <c r="M355" s="1">
        <v>234</v>
      </c>
      <c r="N355" s="1">
        <v>595</v>
      </c>
      <c r="O355" s="1">
        <v>2188</v>
      </c>
      <c r="P355" s="1" t="s">
        <v>16</v>
      </c>
      <c r="Q355" t="str">
        <f>TEXT(dailyActivity_merged[[#This Row],[ActivityDate]],"dddd")</f>
        <v>Thursday</v>
      </c>
    </row>
    <row r="356" spans="1:17" x14ac:dyDescent="0.35">
      <c r="A356" s="1">
        <v>6962181067</v>
      </c>
      <c r="B356" s="2">
        <v>42461</v>
      </c>
      <c r="C356" s="1">
        <v>10467</v>
      </c>
      <c r="D356" s="1">
        <v>6.9800000190000002</v>
      </c>
      <c r="E356" s="1">
        <v>6.9800000190000002</v>
      </c>
      <c r="F356" s="1">
        <v>0</v>
      </c>
      <c r="G356" s="1">
        <v>0.69999998799999996</v>
      </c>
      <c r="H356" s="1">
        <v>2.4300000669999999</v>
      </c>
      <c r="I356" s="1">
        <v>3.8499999049999998</v>
      </c>
      <c r="J356" s="1">
        <v>0</v>
      </c>
      <c r="K356" s="1">
        <v>9</v>
      </c>
      <c r="L356" s="1">
        <v>45</v>
      </c>
      <c r="M356" s="1">
        <v>252</v>
      </c>
      <c r="N356" s="1">
        <v>602</v>
      </c>
      <c r="O356" s="1">
        <v>2014</v>
      </c>
      <c r="P356" s="1" t="s">
        <v>16</v>
      </c>
      <c r="Q356" t="str">
        <f>TEXT(dailyActivity_merged[[#This Row],[ActivityDate]],"dddd")</f>
        <v>Friday</v>
      </c>
    </row>
    <row r="357" spans="1:17" x14ac:dyDescent="0.35">
      <c r="A357" s="1">
        <v>6962181067</v>
      </c>
      <c r="B357" s="2">
        <v>42462</v>
      </c>
      <c r="C357" s="1">
        <v>12437</v>
      </c>
      <c r="D357" s="1">
        <v>8.3000001910000005</v>
      </c>
      <c r="E357" s="1">
        <v>8.3000001910000005</v>
      </c>
      <c r="F357" s="1">
        <v>0</v>
      </c>
      <c r="G357" s="1">
        <v>3.7599999899999998</v>
      </c>
      <c r="H357" s="1">
        <v>1.289999962</v>
      </c>
      <c r="I357" s="1">
        <v>3.2400000100000002</v>
      </c>
      <c r="J357" s="1">
        <v>0</v>
      </c>
      <c r="K357" s="1">
        <v>50</v>
      </c>
      <c r="L357" s="1">
        <v>24</v>
      </c>
      <c r="M357" s="1">
        <v>219</v>
      </c>
      <c r="N357" s="1">
        <v>732</v>
      </c>
      <c r="O357" s="1">
        <v>2115</v>
      </c>
      <c r="P357" s="1" t="s">
        <v>16</v>
      </c>
      <c r="Q357" t="str">
        <f>TEXT(dailyActivity_merged[[#This Row],[ActivityDate]],"dddd")</f>
        <v>Saturday</v>
      </c>
    </row>
    <row r="358" spans="1:17" x14ac:dyDescent="0.35">
      <c r="A358" s="1">
        <v>6962181067</v>
      </c>
      <c r="B358" s="2">
        <v>42463</v>
      </c>
      <c r="C358" s="1">
        <v>12307</v>
      </c>
      <c r="D358" s="1">
        <v>8.1400003430000005</v>
      </c>
      <c r="E358" s="1">
        <v>8.1400003430000005</v>
      </c>
      <c r="F358" s="1">
        <v>0</v>
      </c>
      <c r="G358" s="1">
        <v>1.0099999900000001</v>
      </c>
      <c r="H358" s="1">
        <v>3.2599999899999998</v>
      </c>
      <c r="I358" s="1">
        <v>3.869999886</v>
      </c>
      <c r="J358" s="1">
        <v>0</v>
      </c>
      <c r="K358" s="1">
        <v>14</v>
      </c>
      <c r="L358" s="1">
        <v>51</v>
      </c>
      <c r="M358" s="1">
        <v>218</v>
      </c>
      <c r="N358" s="1">
        <v>589</v>
      </c>
      <c r="O358" s="1">
        <v>2055</v>
      </c>
      <c r="P358" s="1" t="s">
        <v>16</v>
      </c>
      <c r="Q358" t="str">
        <f>TEXT(dailyActivity_merged[[#This Row],[ActivityDate]],"dddd")</f>
        <v>Sunday</v>
      </c>
    </row>
    <row r="359" spans="1:17" x14ac:dyDescent="0.35">
      <c r="A359" s="1">
        <v>6962181067</v>
      </c>
      <c r="B359" s="2">
        <v>42464</v>
      </c>
      <c r="C359" s="1">
        <v>18952</v>
      </c>
      <c r="D359" s="1">
        <v>12.80000019</v>
      </c>
      <c r="E359" s="1">
        <v>12.80000019</v>
      </c>
      <c r="F359" s="1">
        <v>0</v>
      </c>
      <c r="G359" s="1">
        <v>5.9099998469999999</v>
      </c>
      <c r="H359" s="1">
        <v>1.230000019</v>
      </c>
      <c r="I359" s="1">
        <v>5.6599998469999999</v>
      </c>
      <c r="J359" s="1">
        <v>0</v>
      </c>
      <c r="K359" s="1">
        <v>73</v>
      </c>
      <c r="L359" s="1">
        <v>20</v>
      </c>
      <c r="M359" s="1">
        <v>327</v>
      </c>
      <c r="N359" s="1">
        <v>570</v>
      </c>
      <c r="O359" s="1">
        <v>2437</v>
      </c>
      <c r="P359" s="1" t="s">
        <v>16</v>
      </c>
      <c r="Q359" t="str">
        <f>TEXT(dailyActivity_merged[[#This Row],[ActivityDate]],"dddd")</f>
        <v>Monday</v>
      </c>
    </row>
    <row r="360" spans="1:17" x14ac:dyDescent="0.35">
      <c r="A360" s="1">
        <v>6962181067</v>
      </c>
      <c r="B360" s="2">
        <v>42465</v>
      </c>
      <c r="C360" s="1">
        <v>12010</v>
      </c>
      <c r="D360" s="1">
        <v>7.9400000569999998</v>
      </c>
      <c r="E360" s="1">
        <v>7.9400000569999998</v>
      </c>
      <c r="F360" s="1">
        <v>0</v>
      </c>
      <c r="G360" s="1">
        <v>2.380000114</v>
      </c>
      <c r="H360" s="1">
        <v>0.94999998799999996</v>
      </c>
      <c r="I360" s="1">
        <v>4.6100001339999999</v>
      </c>
      <c r="J360" s="1">
        <v>0</v>
      </c>
      <c r="K360" s="1">
        <v>38</v>
      </c>
      <c r="L360" s="1">
        <v>17</v>
      </c>
      <c r="M360" s="1">
        <v>287</v>
      </c>
      <c r="N360" s="1">
        <v>692</v>
      </c>
      <c r="O360" s="1">
        <v>2158</v>
      </c>
      <c r="P360" s="1" t="s">
        <v>16</v>
      </c>
      <c r="Q360" t="str">
        <f>TEXT(dailyActivity_merged[[#This Row],[ActivityDate]],"dddd")</f>
        <v>Tuesday</v>
      </c>
    </row>
    <row r="361" spans="1:17" x14ac:dyDescent="0.35">
      <c r="A361" s="1">
        <v>6962181067</v>
      </c>
      <c r="B361" s="2">
        <v>42466</v>
      </c>
      <c r="C361" s="1">
        <v>12480</v>
      </c>
      <c r="D361" s="1">
        <v>8.8599996569999995</v>
      </c>
      <c r="E361" s="1">
        <v>8.25</v>
      </c>
      <c r="F361" s="1">
        <v>3.97279501</v>
      </c>
      <c r="G361" s="1">
        <v>4.1799998279999997</v>
      </c>
      <c r="H361" s="1">
        <v>0.689999998</v>
      </c>
      <c r="I361" s="1">
        <v>4</v>
      </c>
      <c r="J361" s="1">
        <v>0</v>
      </c>
      <c r="K361" s="1">
        <v>55</v>
      </c>
      <c r="L361" s="1">
        <v>14</v>
      </c>
      <c r="M361" s="1">
        <v>276</v>
      </c>
      <c r="N361" s="1">
        <v>593</v>
      </c>
      <c r="O361" s="1">
        <v>2170</v>
      </c>
      <c r="P361" s="1" t="s">
        <v>16</v>
      </c>
      <c r="Q361" t="str">
        <f>TEXT(dailyActivity_merged[[#This Row],[ActivityDate]],"dddd")</f>
        <v>Wednesday</v>
      </c>
    </row>
    <row r="362" spans="1:17" x14ac:dyDescent="0.35">
      <c r="A362" s="1">
        <v>6962181067</v>
      </c>
      <c r="B362" s="2">
        <v>42467</v>
      </c>
      <c r="C362" s="1">
        <v>13417</v>
      </c>
      <c r="D362" s="1">
        <v>9.6499996190000008</v>
      </c>
      <c r="E362" s="1">
        <v>8.8699998860000004</v>
      </c>
      <c r="F362" s="1">
        <v>1.9263019560000001</v>
      </c>
      <c r="G362" s="1">
        <v>3.3900001049999999</v>
      </c>
      <c r="H362" s="1">
        <v>1.25</v>
      </c>
      <c r="I362" s="1">
        <v>4.9099998469999999</v>
      </c>
      <c r="J362" s="1">
        <v>0.10000000100000001</v>
      </c>
      <c r="K362" s="1">
        <v>45</v>
      </c>
      <c r="L362" s="1">
        <v>16</v>
      </c>
      <c r="M362" s="1">
        <v>284</v>
      </c>
      <c r="N362" s="1">
        <v>665</v>
      </c>
      <c r="O362" s="1">
        <v>2244</v>
      </c>
      <c r="P362" s="1" t="s">
        <v>16</v>
      </c>
      <c r="Q362" t="str">
        <f>TEXT(dailyActivity_merged[[#This Row],[ActivityDate]],"dddd")</f>
        <v>Thursday</v>
      </c>
    </row>
    <row r="363" spans="1:17" x14ac:dyDescent="0.35">
      <c r="A363" s="1">
        <v>6962181067</v>
      </c>
      <c r="B363" s="2">
        <v>42468</v>
      </c>
      <c r="C363" s="1">
        <v>14400</v>
      </c>
      <c r="D363" s="1">
        <v>10.880000109999999</v>
      </c>
      <c r="E363" s="1">
        <v>9.5200004580000002</v>
      </c>
      <c r="F363" s="1">
        <v>5.4568638800000002</v>
      </c>
      <c r="G363" s="1">
        <v>2.4700000289999999</v>
      </c>
      <c r="H363" s="1">
        <v>2.880000114</v>
      </c>
      <c r="I363" s="1">
        <v>5.5300002099999999</v>
      </c>
      <c r="J363" s="1">
        <v>0</v>
      </c>
      <c r="K363" s="1">
        <v>27</v>
      </c>
      <c r="L363" s="1">
        <v>37</v>
      </c>
      <c r="M363" s="1">
        <v>276</v>
      </c>
      <c r="N363" s="1">
        <v>697</v>
      </c>
      <c r="O363" s="1">
        <v>2188</v>
      </c>
      <c r="P363" s="1" t="s">
        <v>16</v>
      </c>
      <c r="Q363" t="str">
        <f>TEXT(dailyActivity_merged[[#This Row],[ActivityDate]],"dddd")</f>
        <v>Friday</v>
      </c>
    </row>
    <row r="364" spans="1:17" x14ac:dyDescent="0.35">
      <c r="A364" s="1">
        <v>6962181067</v>
      </c>
      <c r="B364" s="2">
        <v>42469</v>
      </c>
      <c r="C364" s="1">
        <v>12495</v>
      </c>
      <c r="D364" s="1">
        <v>8.2600002289999992</v>
      </c>
      <c r="E364" s="1">
        <v>8.2600002289999992</v>
      </c>
      <c r="F364" s="1">
        <v>0</v>
      </c>
      <c r="G364" s="1">
        <v>2.210000038</v>
      </c>
      <c r="H364" s="1">
        <v>1.0900000329999999</v>
      </c>
      <c r="I364" s="1">
        <v>4.9600000380000004</v>
      </c>
      <c r="J364" s="1">
        <v>0</v>
      </c>
      <c r="K364" s="1">
        <v>33</v>
      </c>
      <c r="L364" s="1">
        <v>19</v>
      </c>
      <c r="M364" s="1">
        <v>324</v>
      </c>
      <c r="N364" s="1">
        <v>609</v>
      </c>
      <c r="O364" s="1">
        <v>2231</v>
      </c>
      <c r="P364" s="1" t="s">
        <v>16</v>
      </c>
      <c r="Q364" t="str">
        <f>TEXT(dailyActivity_merged[[#This Row],[ActivityDate]],"dddd")</f>
        <v>Saturday</v>
      </c>
    </row>
    <row r="365" spans="1:17" x14ac:dyDescent="0.35">
      <c r="A365" s="1">
        <v>6962181067</v>
      </c>
      <c r="B365" s="2">
        <v>42470</v>
      </c>
      <c r="C365" s="1">
        <v>10148</v>
      </c>
      <c r="D365" s="1">
        <v>6.7100000380000004</v>
      </c>
      <c r="E365" s="1">
        <v>6.7100000380000004</v>
      </c>
      <c r="F365" s="1">
        <v>0</v>
      </c>
      <c r="G365" s="1">
        <v>1.3600000139999999</v>
      </c>
      <c r="H365" s="1">
        <v>0.219999999</v>
      </c>
      <c r="I365" s="1">
        <v>5.1300001139999996</v>
      </c>
      <c r="J365" s="1">
        <v>0</v>
      </c>
      <c r="K365" s="1">
        <v>19</v>
      </c>
      <c r="L365" s="1">
        <v>7</v>
      </c>
      <c r="M365" s="1">
        <v>306</v>
      </c>
      <c r="N365" s="1">
        <v>679</v>
      </c>
      <c r="O365" s="1">
        <v>2100</v>
      </c>
      <c r="P365" s="1" t="s">
        <v>16</v>
      </c>
      <c r="Q365" t="str">
        <f>TEXT(dailyActivity_merged[[#This Row],[ActivityDate]],"dddd")</f>
        <v>Sunday</v>
      </c>
    </row>
    <row r="366" spans="1:17" x14ac:dyDescent="0.35">
      <c r="A366" s="1">
        <v>6962181067</v>
      </c>
      <c r="B366" s="2">
        <v>42471</v>
      </c>
      <c r="C366" s="1">
        <v>12362</v>
      </c>
      <c r="D366" s="1">
        <v>9.0900001530000001</v>
      </c>
      <c r="E366" s="1">
        <v>8.1700000760000009</v>
      </c>
      <c r="F366" s="1">
        <v>2.696455002</v>
      </c>
      <c r="G366" s="1">
        <v>1.0900000329999999</v>
      </c>
      <c r="H366" s="1">
        <v>2.7300000190000002</v>
      </c>
      <c r="I366" s="1">
        <v>5.2699999809999998</v>
      </c>
      <c r="J366" s="1">
        <v>0</v>
      </c>
      <c r="K366" s="1">
        <v>21</v>
      </c>
      <c r="L366" s="1">
        <v>38</v>
      </c>
      <c r="M366" s="1">
        <v>297</v>
      </c>
      <c r="N366" s="1">
        <v>678</v>
      </c>
      <c r="O366" s="1">
        <v>2188</v>
      </c>
      <c r="P366" s="1" t="s">
        <v>16</v>
      </c>
      <c r="Q366" t="str">
        <f>TEXT(dailyActivity_merged[[#This Row],[ActivityDate]],"dddd")</f>
        <v>Monday</v>
      </c>
    </row>
    <row r="367" spans="1:17" x14ac:dyDescent="0.35">
      <c r="A367" s="1">
        <v>6962181067</v>
      </c>
      <c r="B367" s="2">
        <v>42472</v>
      </c>
      <c r="C367" s="1">
        <v>5893</v>
      </c>
      <c r="D367" s="1">
        <v>3.9000000950000002</v>
      </c>
      <c r="E367" s="1">
        <v>3.9000000950000002</v>
      </c>
      <c r="F367" s="1">
        <v>0</v>
      </c>
      <c r="G367" s="1">
        <v>2.880000114</v>
      </c>
      <c r="H367" s="1">
        <v>0.560000002</v>
      </c>
      <c r="I367" s="1">
        <v>0.46000000800000002</v>
      </c>
      <c r="J367" s="1">
        <v>0</v>
      </c>
      <c r="K367" s="1">
        <v>43</v>
      </c>
      <c r="L367" s="1">
        <v>9</v>
      </c>
      <c r="M367" s="1">
        <v>48</v>
      </c>
      <c r="N367" s="1">
        <v>146</v>
      </c>
      <c r="O367" s="1">
        <v>917</v>
      </c>
      <c r="P367" s="1" t="s">
        <v>19</v>
      </c>
      <c r="Q367" t="str">
        <f>TEXT(dailyActivity_merged[[#This Row],[ActivityDate]],"dddd")</f>
        <v>Tuesday</v>
      </c>
    </row>
    <row r="368" spans="1:17" x14ac:dyDescent="0.35">
      <c r="A368" s="1">
        <v>7007744171</v>
      </c>
      <c r="B368" s="2">
        <v>42461</v>
      </c>
      <c r="C368" s="1">
        <v>11680</v>
      </c>
      <c r="D368" s="1">
        <v>9.0600004199999997</v>
      </c>
      <c r="E368" s="1">
        <v>7.8099999430000002</v>
      </c>
      <c r="F368" s="1">
        <v>4.9012827870000004</v>
      </c>
      <c r="G368" s="1">
        <v>4.4899997709999999</v>
      </c>
      <c r="H368" s="1">
        <v>0.33000001299999998</v>
      </c>
      <c r="I368" s="1">
        <v>4.2399997709999999</v>
      </c>
      <c r="J368" s="1">
        <v>0</v>
      </c>
      <c r="K368" s="1">
        <v>50</v>
      </c>
      <c r="L368" s="1">
        <v>7</v>
      </c>
      <c r="M368" s="1">
        <v>244</v>
      </c>
      <c r="N368" s="1">
        <v>1139</v>
      </c>
      <c r="O368" s="1">
        <v>2573</v>
      </c>
      <c r="P368" s="1" t="s">
        <v>16</v>
      </c>
      <c r="Q368" t="str">
        <f>TEXT(dailyActivity_merged[[#This Row],[ActivityDate]],"dddd")</f>
        <v>Friday</v>
      </c>
    </row>
    <row r="369" spans="1:17" x14ac:dyDescent="0.35">
      <c r="A369" s="1">
        <v>7007744171</v>
      </c>
      <c r="B369" s="2">
        <v>42462</v>
      </c>
      <c r="C369" s="1">
        <v>10976</v>
      </c>
      <c r="D369" s="1">
        <v>7.3400001530000001</v>
      </c>
      <c r="E369" s="1">
        <v>7.3400001530000001</v>
      </c>
      <c r="F369" s="1">
        <v>0</v>
      </c>
      <c r="G369" s="1">
        <v>0.55000001200000004</v>
      </c>
      <c r="H369" s="1">
        <v>0.670000017</v>
      </c>
      <c r="I369" s="1">
        <v>6.1300001139999996</v>
      </c>
      <c r="J369" s="1">
        <v>0</v>
      </c>
      <c r="K369" s="1">
        <v>9</v>
      </c>
      <c r="L369" s="1">
        <v>16</v>
      </c>
      <c r="M369" s="1">
        <v>271</v>
      </c>
      <c r="N369" s="1">
        <v>1075</v>
      </c>
      <c r="O369" s="1">
        <v>2575</v>
      </c>
      <c r="P369" s="1" t="s">
        <v>16</v>
      </c>
      <c r="Q369" t="str">
        <f>TEXT(dailyActivity_merged[[#This Row],[ActivityDate]],"dddd")</f>
        <v>Saturday</v>
      </c>
    </row>
    <row r="370" spans="1:17" x14ac:dyDescent="0.35">
      <c r="A370" s="1">
        <v>7007744171</v>
      </c>
      <c r="B370" s="2">
        <v>42463</v>
      </c>
      <c r="C370" s="1">
        <v>16806</v>
      </c>
      <c r="D370" s="1">
        <v>11.239999770000001</v>
      </c>
      <c r="E370" s="1">
        <v>11.239999770000001</v>
      </c>
      <c r="F370" s="1">
        <v>0</v>
      </c>
      <c r="G370" s="1">
        <v>6.4099998469999999</v>
      </c>
      <c r="H370" s="1">
        <v>1.3700000050000001</v>
      </c>
      <c r="I370" s="1">
        <v>3.4700000289999999</v>
      </c>
      <c r="J370" s="1">
        <v>0</v>
      </c>
      <c r="K370" s="1">
        <v>104</v>
      </c>
      <c r="L370" s="1">
        <v>31</v>
      </c>
      <c r="M370" s="1">
        <v>230</v>
      </c>
      <c r="N370" s="1">
        <v>1002</v>
      </c>
      <c r="O370" s="1">
        <v>3086</v>
      </c>
      <c r="P370" s="1" t="s">
        <v>16</v>
      </c>
      <c r="Q370" t="str">
        <f>TEXT(dailyActivity_merged[[#This Row],[ActivityDate]],"dddd")</f>
        <v>Sunday</v>
      </c>
    </row>
    <row r="371" spans="1:17" x14ac:dyDescent="0.35">
      <c r="A371" s="1">
        <v>7007744171</v>
      </c>
      <c r="B371" s="2">
        <v>42464</v>
      </c>
      <c r="C371" s="1">
        <v>15266</v>
      </c>
      <c r="D371" s="1">
        <v>11.399999619999999</v>
      </c>
      <c r="E371" s="1">
        <v>10.210000040000001</v>
      </c>
      <c r="F371" s="1">
        <v>5.1898498540000002</v>
      </c>
      <c r="G371" s="1">
        <v>5.8000001909999996</v>
      </c>
      <c r="H371" s="1">
        <v>0.75999998999999996</v>
      </c>
      <c r="I371" s="1">
        <v>4.7899999619999996</v>
      </c>
      <c r="J371" s="1">
        <v>5.0000001000000002E-2</v>
      </c>
      <c r="K371" s="1">
        <v>70</v>
      </c>
      <c r="L371" s="1">
        <v>21</v>
      </c>
      <c r="M371" s="1">
        <v>292</v>
      </c>
      <c r="N371" s="1">
        <v>1057</v>
      </c>
      <c r="O371" s="1">
        <v>2886</v>
      </c>
      <c r="P371" s="1" t="s">
        <v>16</v>
      </c>
      <c r="Q371" t="str">
        <f>TEXT(dailyActivity_merged[[#This Row],[ActivityDate]],"dddd")</f>
        <v>Monday</v>
      </c>
    </row>
    <row r="372" spans="1:17" x14ac:dyDescent="0.35">
      <c r="A372" s="1">
        <v>7007744171</v>
      </c>
      <c r="B372" s="2">
        <v>42465</v>
      </c>
      <c r="C372" s="1">
        <v>12084</v>
      </c>
      <c r="D372" s="1">
        <v>9.1400003430000005</v>
      </c>
      <c r="E372" s="1">
        <v>8.0799999239999991</v>
      </c>
      <c r="F372" s="1">
        <v>4.8363800049999996</v>
      </c>
      <c r="G372" s="1">
        <v>4.3899998660000001</v>
      </c>
      <c r="H372" s="1">
        <v>0.46000000800000002</v>
      </c>
      <c r="I372" s="1">
        <v>4.2899999619999996</v>
      </c>
      <c r="J372" s="1">
        <v>0</v>
      </c>
      <c r="K372" s="1">
        <v>50</v>
      </c>
      <c r="L372" s="1">
        <v>6</v>
      </c>
      <c r="M372" s="1">
        <v>284</v>
      </c>
      <c r="N372" s="1">
        <v>1030</v>
      </c>
      <c r="O372" s="1">
        <v>2676</v>
      </c>
      <c r="P372" s="1" t="s">
        <v>16</v>
      </c>
      <c r="Q372" t="str">
        <f>TEXT(dailyActivity_merged[[#This Row],[ActivityDate]],"dddd")</f>
        <v>Tuesday</v>
      </c>
    </row>
    <row r="373" spans="1:17" x14ac:dyDescent="0.35">
      <c r="A373" s="1">
        <v>7007744171</v>
      </c>
      <c r="B373" s="2">
        <v>42466</v>
      </c>
      <c r="C373" s="1">
        <v>13513</v>
      </c>
      <c r="D373" s="1">
        <v>10.25</v>
      </c>
      <c r="E373" s="1">
        <v>9.0699996949999999</v>
      </c>
      <c r="F373" s="1">
        <v>4.835720062</v>
      </c>
      <c r="G373" s="1">
        <v>5.3499999049999998</v>
      </c>
      <c r="H373" s="1">
        <v>0.33000001299999998</v>
      </c>
      <c r="I373" s="1">
        <v>4.5599999430000002</v>
      </c>
      <c r="J373" s="1">
        <v>0</v>
      </c>
      <c r="K373" s="1">
        <v>64</v>
      </c>
      <c r="L373" s="1">
        <v>8</v>
      </c>
      <c r="M373" s="1">
        <v>270</v>
      </c>
      <c r="N373" s="1">
        <v>1098</v>
      </c>
      <c r="O373" s="1">
        <v>2811</v>
      </c>
      <c r="P373" s="1" t="s">
        <v>16</v>
      </c>
      <c r="Q373" t="str">
        <f>TEXT(dailyActivity_merged[[#This Row],[ActivityDate]],"dddd")</f>
        <v>Wednesday</v>
      </c>
    </row>
    <row r="374" spans="1:17" x14ac:dyDescent="0.35">
      <c r="A374" s="1">
        <v>7007744171</v>
      </c>
      <c r="B374" s="2">
        <v>42467</v>
      </c>
      <c r="C374" s="1">
        <v>14100</v>
      </c>
      <c r="D374" s="1">
        <v>10.579999920000001</v>
      </c>
      <c r="E374" s="1">
        <v>9.4300003050000001</v>
      </c>
      <c r="F374" s="1">
        <v>4.8759899139999998</v>
      </c>
      <c r="G374" s="1">
        <v>5.0999999049999998</v>
      </c>
      <c r="H374" s="1">
        <v>1.190000057</v>
      </c>
      <c r="I374" s="1">
        <v>4.2800002099999999</v>
      </c>
      <c r="J374" s="1">
        <v>0</v>
      </c>
      <c r="K374" s="1">
        <v>61</v>
      </c>
      <c r="L374" s="1">
        <v>33</v>
      </c>
      <c r="M374" s="1">
        <v>265</v>
      </c>
      <c r="N374" s="1">
        <v>1015</v>
      </c>
      <c r="O374" s="1">
        <v>2840</v>
      </c>
      <c r="P374" s="1" t="s">
        <v>16</v>
      </c>
      <c r="Q374" t="str">
        <f>TEXT(dailyActivity_merged[[#This Row],[ActivityDate]],"dddd")</f>
        <v>Thursday</v>
      </c>
    </row>
    <row r="375" spans="1:17" x14ac:dyDescent="0.35">
      <c r="A375" s="1">
        <v>7007744171</v>
      </c>
      <c r="B375" s="2">
        <v>42468</v>
      </c>
      <c r="C375" s="1">
        <v>12627</v>
      </c>
      <c r="D375" s="1">
        <v>9.6499996190000008</v>
      </c>
      <c r="E375" s="1">
        <v>8.4499998089999995</v>
      </c>
      <c r="F375" s="1">
        <v>4.8423199649999997</v>
      </c>
      <c r="G375" s="1">
        <v>4.6999998090000004</v>
      </c>
      <c r="H375" s="1">
        <v>0.74000001000000004</v>
      </c>
      <c r="I375" s="1">
        <v>4.2100000380000004</v>
      </c>
      <c r="J375" s="1">
        <v>0</v>
      </c>
      <c r="K375" s="1">
        <v>54</v>
      </c>
      <c r="L375" s="1">
        <v>22</v>
      </c>
      <c r="M375" s="1">
        <v>301</v>
      </c>
      <c r="N375" s="1">
        <v>1063</v>
      </c>
      <c r="O375" s="1">
        <v>2871</v>
      </c>
      <c r="P375" s="1" t="s">
        <v>16</v>
      </c>
      <c r="Q375" t="str">
        <f>TEXT(dailyActivity_merged[[#This Row],[ActivityDate]],"dddd")</f>
        <v>Friday</v>
      </c>
    </row>
    <row r="376" spans="1:17" x14ac:dyDescent="0.35">
      <c r="A376" s="1">
        <v>7007744171</v>
      </c>
      <c r="B376" s="2">
        <v>42469</v>
      </c>
      <c r="C376" s="1">
        <v>10345</v>
      </c>
      <c r="D376" s="1">
        <v>6.920000076</v>
      </c>
      <c r="E376" s="1">
        <v>6.920000076</v>
      </c>
      <c r="F376" s="1">
        <v>0</v>
      </c>
      <c r="G376" s="1">
        <v>7.0000000000000007E-2</v>
      </c>
      <c r="H376" s="1">
        <v>0.27000001099999998</v>
      </c>
      <c r="I376" s="1">
        <v>6.579999924</v>
      </c>
      <c r="J376" s="1">
        <v>0</v>
      </c>
      <c r="K376" s="1">
        <v>2</v>
      </c>
      <c r="L376" s="1">
        <v>6</v>
      </c>
      <c r="M376" s="1">
        <v>358</v>
      </c>
      <c r="N376" s="1">
        <v>1074</v>
      </c>
      <c r="O376" s="1">
        <v>2613</v>
      </c>
      <c r="P376" s="1" t="s">
        <v>16</v>
      </c>
      <c r="Q376" t="str">
        <f>TEXT(dailyActivity_merged[[#This Row],[ActivityDate]],"dddd")</f>
        <v>Saturday</v>
      </c>
    </row>
    <row r="377" spans="1:17" x14ac:dyDescent="0.35">
      <c r="A377" s="1">
        <v>7007744171</v>
      </c>
      <c r="B377" s="2">
        <v>42470</v>
      </c>
      <c r="C377" s="1">
        <v>10146</v>
      </c>
      <c r="D377" s="1">
        <v>6.7899999619999996</v>
      </c>
      <c r="E377" s="1">
        <v>6.7899999619999996</v>
      </c>
      <c r="F377" s="1">
        <v>0</v>
      </c>
      <c r="G377" s="1">
        <v>7.0000000000000007E-2</v>
      </c>
      <c r="H377" s="1">
        <v>0.61000001400000003</v>
      </c>
      <c r="I377" s="1">
        <v>6.1100001339999999</v>
      </c>
      <c r="J377" s="1">
        <v>0</v>
      </c>
      <c r="K377" s="1">
        <v>1</v>
      </c>
      <c r="L377" s="1">
        <v>12</v>
      </c>
      <c r="M377" s="1">
        <v>397</v>
      </c>
      <c r="N377" s="1">
        <v>1030</v>
      </c>
      <c r="O377" s="1">
        <v>2700</v>
      </c>
      <c r="P377" s="1" t="s">
        <v>16</v>
      </c>
      <c r="Q377" t="str">
        <f>TEXT(dailyActivity_merged[[#This Row],[ActivityDate]],"dddd")</f>
        <v>Sunday</v>
      </c>
    </row>
    <row r="378" spans="1:17" x14ac:dyDescent="0.35">
      <c r="A378" s="1">
        <v>7007744171</v>
      </c>
      <c r="B378" s="2">
        <v>42471</v>
      </c>
      <c r="C378" s="1">
        <v>12168</v>
      </c>
      <c r="D378" s="1">
        <v>8.1400003430000005</v>
      </c>
      <c r="E378" s="1">
        <v>8.1400003430000005</v>
      </c>
      <c r="F378" s="1">
        <v>0</v>
      </c>
      <c r="G378" s="1">
        <v>1.0499999520000001</v>
      </c>
      <c r="H378" s="1">
        <v>0.790000021</v>
      </c>
      <c r="I378" s="1">
        <v>6.2899999619999996</v>
      </c>
      <c r="J378" s="1">
        <v>0</v>
      </c>
      <c r="K378" s="1">
        <v>18</v>
      </c>
      <c r="L378" s="1">
        <v>27</v>
      </c>
      <c r="M378" s="1">
        <v>375</v>
      </c>
      <c r="N378" s="1">
        <v>1020</v>
      </c>
      <c r="O378" s="1">
        <v>2871</v>
      </c>
      <c r="P378" s="1" t="s">
        <v>16</v>
      </c>
      <c r="Q378" t="str">
        <f>TEXT(dailyActivity_merged[[#This Row],[ActivityDate]],"dddd")</f>
        <v>Monday</v>
      </c>
    </row>
    <row r="379" spans="1:17" x14ac:dyDescent="0.35">
      <c r="A379" s="1">
        <v>7007744171</v>
      </c>
      <c r="B379" s="2">
        <v>42472</v>
      </c>
      <c r="C379" s="1">
        <v>7413</v>
      </c>
      <c r="D379" s="1">
        <v>5.7699999809999998</v>
      </c>
      <c r="E379" s="1">
        <v>4.9600000380000004</v>
      </c>
      <c r="F379" s="1">
        <v>4.869782925</v>
      </c>
      <c r="G379" s="1">
        <v>4.5</v>
      </c>
      <c r="H379" s="1">
        <v>0.34000000400000002</v>
      </c>
      <c r="I379" s="1">
        <v>0.939999998</v>
      </c>
      <c r="J379" s="1">
        <v>0</v>
      </c>
      <c r="K379" s="1">
        <v>53</v>
      </c>
      <c r="L379" s="1">
        <v>6</v>
      </c>
      <c r="M379" s="1">
        <v>43</v>
      </c>
      <c r="N379" s="1">
        <v>405</v>
      </c>
      <c r="O379" s="1">
        <v>1023</v>
      </c>
      <c r="P379" s="1" t="s">
        <v>19</v>
      </c>
      <c r="Q379" t="str">
        <f>TEXT(dailyActivity_merged[[#This Row],[ActivityDate]],"dddd")</f>
        <v>Tuesday</v>
      </c>
    </row>
    <row r="380" spans="1:17" x14ac:dyDescent="0.35">
      <c r="A380" s="1">
        <v>7086361926</v>
      </c>
      <c r="B380" s="2">
        <v>42461</v>
      </c>
      <c r="C380" s="1">
        <v>11463</v>
      </c>
      <c r="D380" s="1">
        <v>7.670000076</v>
      </c>
      <c r="E380" s="1">
        <v>7.670000076</v>
      </c>
      <c r="F380" s="1">
        <v>0</v>
      </c>
      <c r="G380" s="1">
        <v>2.829999924</v>
      </c>
      <c r="H380" s="1">
        <v>1.8899999860000001</v>
      </c>
      <c r="I380" s="1">
        <v>2.9300000669999999</v>
      </c>
      <c r="J380" s="1">
        <v>0</v>
      </c>
      <c r="K380" s="1">
        <v>38</v>
      </c>
      <c r="L380" s="1">
        <v>30</v>
      </c>
      <c r="M380" s="1">
        <v>154</v>
      </c>
      <c r="N380" s="1">
        <v>777</v>
      </c>
      <c r="O380" s="1">
        <v>2496</v>
      </c>
      <c r="P380" s="1" t="s">
        <v>16</v>
      </c>
      <c r="Q380" t="str">
        <f>TEXT(dailyActivity_merged[[#This Row],[ActivityDate]],"dddd")</f>
        <v>Friday</v>
      </c>
    </row>
    <row r="381" spans="1:17" x14ac:dyDescent="0.35">
      <c r="A381" s="1">
        <v>7086361926</v>
      </c>
      <c r="B381" s="2">
        <v>42462</v>
      </c>
      <c r="C381" s="1">
        <v>87</v>
      </c>
      <c r="D381" s="1">
        <v>0.02</v>
      </c>
      <c r="E381" s="1">
        <v>0.02</v>
      </c>
      <c r="F381" s="1">
        <v>0</v>
      </c>
      <c r="G381" s="1">
        <v>0</v>
      </c>
      <c r="H381" s="1">
        <v>0</v>
      </c>
      <c r="I381" s="1">
        <v>0.01</v>
      </c>
      <c r="J381" s="1">
        <v>0</v>
      </c>
      <c r="K381" s="1">
        <v>0</v>
      </c>
      <c r="L381" s="1">
        <v>0</v>
      </c>
      <c r="M381" s="1">
        <v>2</v>
      </c>
      <c r="N381" s="1">
        <v>872</v>
      </c>
      <c r="O381" s="1">
        <v>1641</v>
      </c>
      <c r="P381" s="1" t="s">
        <v>17</v>
      </c>
      <c r="Q381" t="str">
        <f>TEXT(dailyActivity_merged[[#This Row],[ActivityDate]],"dddd")</f>
        <v>Saturday</v>
      </c>
    </row>
    <row r="382" spans="1:17" x14ac:dyDescent="0.35">
      <c r="A382" s="1">
        <v>7086361926</v>
      </c>
      <c r="B382" s="2">
        <v>42463</v>
      </c>
      <c r="C382" s="1">
        <v>1949</v>
      </c>
      <c r="D382" s="1">
        <v>1.309999943</v>
      </c>
      <c r="E382" s="1">
        <v>1.309999943</v>
      </c>
      <c r="F382" s="1">
        <v>0</v>
      </c>
      <c r="G382" s="1">
        <v>0.23000000400000001</v>
      </c>
      <c r="H382" s="1">
        <v>0.34999999399999998</v>
      </c>
      <c r="I382" s="1">
        <v>0.730000019</v>
      </c>
      <c r="J382" s="1">
        <v>0</v>
      </c>
      <c r="K382" s="1">
        <v>3</v>
      </c>
      <c r="L382" s="1">
        <v>6</v>
      </c>
      <c r="M382" s="1">
        <v>27</v>
      </c>
      <c r="N382" s="1">
        <v>1404</v>
      </c>
      <c r="O382" s="1">
        <v>1794</v>
      </c>
      <c r="P382" s="1" t="s">
        <v>17</v>
      </c>
      <c r="Q382" t="str">
        <f>TEXT(dailyActivity_merged[[#This Row],[ActivityDate]],"dddd")</f>
        <v>Sunday</v>
      </c>
    </row>
    <row r="383" spans="1:17" x14ac:dyDescent="0.35">
      <c r="A383" s="1">
        <v>7086361926</v>
      </c>
      <c r="B383" s="2">
        <v>42464</v>
      </c>
      <c r="C383" s="1">
        <v>6101</v>
      </c>
      <c r="D383" s="1">
        <v>3.869999886</v>
      </c>
      <c r="E383" s="1">
        <v>3.869999886</v>
      </c>
      <c r="F383" s="1">
        <v>0</v>
      </c>
      <c r="G383" s="1">
        <v>0.52999997099999996</v>
      </c>
      <c r="H383" s="1">
        <v>0.23000000400000001</v>
      </c>
      <c r="I383" s="1">
        <v>3.0999999049999998</v>
      </c>
      <c r="J383" s="1">
        <v>0</v>
      </c>
      <c r="K383" s="1">
        <v>31</v>
      </c>
      <c r="L383" s="1">
        <v>24</v>
      </c>
      <c r="M383" s="1">
        <v>138</v>
      </c>
      <c r="N383" s="1">
        <v>1247</v>
      </c>
      <c r="O383" s="1">
        <v>2421</v>
      </c>
      <c r="P383" s="1" t="s">
        <v>19</v>
      </c>
      <c r="Q383" t="str">
        <f>TEXT(dailyActivity_merged[[#This Row],[ActivityDate]],"dddd")</f>
        <v>Monday</v>
      </c>
    </row>
    <row r="384" spans="1:17" x14ac:dyDescent="0.35">
      <c r="A384" s="1">
        <v>7086361926</v>
      </c>
      <c r="B384" s="2">
        <v>42465</v>
      </c>
      <c r="C384" s="1">
        <v>7478</v>
      </c>
      <c r="D384" s="1">
        <v>4.9899997709999999</v>
      </c>
      <c r="E384" s="1">
        <v>4.9899997709999999</v>
      </c>
      <c r="F384" s="1">
        <v>0</v>
      </c>
      <c r="G384" s="1">
        <v>1.7999999520000001</v>
      </c>
      <c r="H384" s="1">
        <v>0.52999997099999996</v>
      </c>
      <c r="I384" s="1">
        <v>2.6099998950000001</v>
      </c>
      <c r="J384" s="1">
        <v>2.9999998999999999E-2</v>
      </c>
      <c r="K384" s="1">
        <v>25</v>
      </c>
      <c r="L384" s="1">
        <v>33</v>
      </c>
      <c r="M384" s="1">
        <v>132</v>
      </c>
      <c r="N384" s="1">
        <v>1159</v>
      </c>
      <c r="O384" s="1">
        <v>2439</v>
      </c>
      <c r="P384" s="1" t="s">
        <v>19</v>
      </c>
      <c r="Q384" t="str">
        <f>TEXT(dailyActivity_merged[[#This Row],[ActivityDate]],"dddd")</f>
        <v>Tuesday</v>
      </c>
    </row>
    <row r="385" spans="1:17" x14ac:dyDescent="0.35">
      <c r="A385" s="1">
        <v>7086361926</v>
      </c>
      <c r="B385" s="2">
        <v>42466</v>
      </c>
      <c r="C385" s="1">
        <v>7352</v>
      </c>
      <c r="D385" s="1">
        <v>4.7300000190000002</v>
      </c>
      <c r="E385" s="1">
        <v>4.7300000190000002</v>
      </c>
      <c r="F385" s="1">
        <v>0</v>
      </c>
      <c r="G385" s="1">
        <v>1.4099999670000001</v>
      </c>
      <c r="H385" s="1">
        <v>0.77999997099999996</v>
      </c>
      <c r="I385" s="1">
        <v>2.5299999710000001</v>
      </c>
      <c r="J385" s="1">
        <v>0</v>
      </c>
      <c r="K385" s="1">
        <v>19</v>
      </c>
      <c r="L385" s="1">
        <v>14</v>
      </c>
      <c r="M385" s="1">
        <v>124</v>
      </c>
      <c r="N385" s="1">
        <v>814</v>
      </c>
      <c r="O385" s="1">
        <v>2233</v>
      </c>
      <c r="P385" s="1" t="s">
        <v>19</v>
      </c>
      <c r="Q385" t="str">
        <f>TEXT(dailyActivity_merged[[#This Row],[ActivityDate]],"dddd")</f>
        <v>Wednesday</v>
      </c>
    </row>
    <row r="386" spans="1:17" x14ac:dyDescent="0.35">
      <c r="A386" s="1">
        <v>7086361926</v>
      </c>
      <c r="B386" s="2">
        <v>42467</v>
      </c>
      <c r="C386" s="1">
        <v>14604</v>
      </c>
      <c r="D386" s="1">
        <v>10.81999969</v>
      </c>
      <c r="E386" s="1">
        <v>10.81999969</v>
      </c>
      <c r="F386" s="1">
        <v>0</v>
      </c>
      <c r="G386" s="1">
        <v>7.2300000190000002</v>
      </c>
      <c r="H386" s="1">
        <v>1.1200000050000001</v>
      </c>
      <c r="I386" s="1">
        <v>2.4300000669999999</v>
      </c>
      <c r="J386" s="1">
        <v>2.9999998999999999E-2</v>
      </c>
      <c r="K386" s="1">
        <v>76</v>
      </c>
      <c r="L386" s="1">
        <v>30</v>
      </c>
      <c r="M386" s="1">
        <v>127</v>
      </c>
      <c r="N386" s="1">
        <v>695</v>
      </c>
      <c r="O386" s="1">
        <v>2862</v>
      </c>
      <c r="P386" s="1" t="s">
        <v>16</v>
      </c>
      <c r="Q386" t="str">
        <f>TEXT(dailyActivity_merged[[#This Row],[ActivityDate]],"dddd")</f>
        <v>Thursday</v>
      </c>
    </row>
    <row r="387" spans="1:17" x14ac:dyDescent="0.35">
      <c r="A387" s="1">
        <v>7086361926</v>
      </c>
      <c r="B387" s="2">
        <v>42468</v>
      </c>
      <c r="C387" s="1">
        <v>9634</v>
      </c>
      <c r="D387" s="1">
        <v>6.5199999809999998</v>
      </c>
      <c r="E387" s="1">
        <v>6.5199999809999998</v>
      </c>
      <c r="F387" s="1">
        <v>0</v>
      </c>
      <c r="G387" s="1">
        <v>2.5</v>
      </c>
      <c r="H387" s="1">
        <v>1.3999999759999999</v>
      </c>
      <c r="I387" s="1">
        <v>2.5899999139999998</v>
      </c>
      <c r="J387" s="1">
        <v>0</v>
      </c>
      <c r="K387" s="1">
        <v>50</v>
      </c>
      <c r="L387" s="1">
        <v>48</v>
      </c>
      <c r="M387" s="1">
        <v>140</v>
      </c>
      <c r="N387" s="1">
        <v>797</v>
      </c>
      <c r="O387" s="1">
        <v>2752</v>
      </c>
      <c r="P387" s="1" t="s">
        <v>18</v>
      </c>
      <c r="Q387" t="str">
        <f>TEXT(dailyActivity_merged[[#This Row],[ActivityDate]],"dddd")</f>
        <v>Friday</v>
      </c>
    </row>
    <row r="388" spans="1:17" x14ac:dyDescent="0.35">
      <c r="A388" s="1">
        <v>7086361926</v>
      </c>
      <c r="B388" s="2">
        <v>42469</v>
      </c>
      <c r="C388" s="1">
        <v>7338</v>
      </c>
      <c r="D388" s="1">
        <v>4.670000076</v>
      </c>
      <c r="E388" s="1">
        <v>4.670000076</v>
      </c>
      <c r="F388" s="1">
        <v>0</v>
      </c>
      <c r="G388" s="1">
        <v>1.0800000430000001</v>
      </c>
      <c r="H388" s="1">
        <v>0.12999999500000001</v>
      </c>
      <c r="I388" s="1">
        <v>3.460000038</v>
      </c>
      <c r="J388" s="1">
        <v>0</v>
      </c>
      <c r="K388" s="1">
        <v>27</v>
      </c>
      <c r="L388" s="1">
        <v>5</v>
      </c>
      <c r="M388" s="1">
        <v>204</v>
      </c>
      <c r="N388" s="1">
        <v>717</v>
      </c>
      <c r="O388" s="1">
        <v>2519</v>
      </c>
      <c r="P388" s="1" t="s">
        <v>19</v>
      </c>
      <c r="Q388" t="str">
        <f>TEXT(dailyActivity_merged[[#This Row],[ActivityDate]],"dddd")</f>
        <v>Saturday</v>
      </c>
    </row>
    <row r="389" spans="1:17" x14ac:dyDescent="0.35">
      <c r="A389" s="1">
        <v>7086361926</v>
      </c>
      <c r="B389" s="2">
        <v>42470</v>
      </c>
      <c r="C389" s="1">
        <v>569</v>
      </c>
      <c r="D389" s="1">
        <v>0.34999999399999998</v>
      </c>
      <c r="E389" s="1">
        <v>0.34999999399999998</v>
      </c>
      <c r="F389" s="1">
        <v>0</v>
      </c>
      <c r="G389" s="1">
        <v>0</v>
      </c>
      <c r="H389" s="1">
        <v>0</v>
      </c>
      <c r="I389" s="1">
        <v>0.34000000400000002</v>
      </c>
      <c r="J389" s="1">
        <v>0</v>
      </c>
      <c r="K389" s="1">
        <v>0</v>
      </c>
      <c r="L389" s="1">
        <v>0</v>
      </c>
      <c r="M389" s="1">
        <v>27</v>
      </c>
      <c r="N389" s="1">
        <v>1368</v>
      </c>
      <c r="O389" s="1">
        <v>1799</v>
      </c>
      <c r="P389" s="1" t="s">
        <v>17</v>
      </c>
      <c r="Q389" t="str">
        <f>TEXT(dailyActivity_merged[[#This Row],[ActivityDate]],"dddd")</f>
        <v>Sunday</v>
      </c>
    </row>
    <row r="390" spans="1:17" x14ac:dyDescent="0.35">
      <c r="A390" s="1">
        <v>7086361926</v>
      </c>
      <c r="B390" s="2">
        <v>42471</v>
      </c>
      <c r="C390" s="1">
        <v>6242</v>
      </c>
      <c r="D390" s="1">
        <v>3.920000076</v>
      </c>
      <c r="E390" s="1">
        <v>3.920000076</v>
      </c>
      <c r="F390" s="1">
        <v>0</v>
      </c>
      <c r="G390" s="1">
        <v>0.74000001000000004</v>
      </c>
      <c r="H390" s="1">
        <v>0.23000000400000001</v>
      </c>
      <c r="I390" s="1">
        <v>2.9300000669999999</v>
      </c>
      <c r="J390" s="1">
        <v>0</v>
      </c>
      <c r="K390" s="1">
        <v>46</v>
      </c>
      <c r="L390" s="1">
        <v>22</v>
      </c>
      <c r="M390" s="1">
        <v>126</v>
      </c>
      <c r="N390" s="1">
        <v>741</v>
      </c>
      <c r="O390" s="1">
        <v>2543</v>
      </c>
      <c r="P390" s="1" t="s">
        <v>19</v>
      </c>
      <c r="Q390" t="str">
        <f>TEXT(dailyActivity_merged[[#This Row],[ActivityDate]],"dddd")</f>
        <v>Monday</v>
      </c>
    </row>
    <row r="391" spans="1:17" x14ac:dyDescent="0.35">
      <c r="A391" s="1">
        <v>7086361926</v>
      </c>
      <c r="B391" s="2">
        <v>42472</v>
      </c>
      <c r="C391" s="1">
        <v>430</v>
      </c>
      <c r="D391" s="1">
        <v>0.25999999000000001</v>
      </c>
      <c r="E391" s="1">
        <v>0.25999999000000001</v>
      </c>
      <c r="F391" s="1">
        <v>0</v>
      </c>
      <c r="G391" s="1">
        <v>0</v>
      </c>
      <c r="H391" s="1">
        <v>0</v>
      </c>
      <c r="I391" s="1">
        <v>0.25999999000000001</v>
      </c>
      <c r="J391" s="1">
        <v>0</v>
      </c>
      <c r="K391" s="1">
        <v>0</v>
      </c>
      <c r="L391" s="1">
        <v>0</v>
      </c>
      <c r="M391" s="1">
        <v>14</v>
      </c>
      <c r="N391" s="1">
        <v>75</v>
      </c>
      <c r="O391" s="1">
        <v>625</v>
      </c>
      <c r="P391" s="1" t="s">
        <v>17</v>
      </c>
      <c r="Q391" t="str">
        <f>TEXT(dailyActivity_merged[[#This Row],[ActivityDate]],"dddd")</f>
        <v>Tuesday</v>
      </c>
    </row>
    <row r="392" spans="1:17" x14ac:dyDescent="0.35">
      <c r="A392" s="1">
        <v>8053475328</v>
      </c>
      <c r="B392" s="2">
        <v>42462</v>
      </c>
      <c r="C392" s="1">
        <v>20188</v>
      </c>
      <c r="D392" s="1">
        <v>15.619999890000001</v>
      </c>
      <c r="E392" s="1">
        <v>15.619999890000001</v>
      </c>
      <c r="F392" s="1">
        <v>0</v>
      </c>
      <c r="G392" s="1">
        <v>12.06000042</v>
      </c>
      <c r="H392" s="1">
        <v>0.85000002399999997</v>
      </c>
      <c r="I392" s="1">
        <v>2.710000038</v>
      </c>
      <c r="J392" s="1">
        <v>0</v>
      </c>
      <c r="K392" s="1">
        <v>124</v>
      </c>
      <c r="L392" s="1">
        <v>19</v>
      </c>
      <c r="M392" s="1">
        <v>172</v>
      </c>
      <c r="N392" s="1">
        <v>1125</v>
      </c>
      <c r="O392" s="1">
        <v>3377</v>
      </c>
      <c r="P392" s="1" t="s">
        <v>16</v>
      </c>
      <c r="Q392" t="str">
        <f>TEXT(dailyActivity_merged[[#This Row],[ActivityDate]],"dddd")</f>
        <v>Saturday</v>
      </c>
    </row>
    <row r="393" spans="1:17" x14ac:dyDescent="0.35">
      <c r="A393" s="1">
        <v>8053475328</v>
      </c>
      <c r="B393" s="2">
        <v>42463</v>
      </c>
      <c r="C393" s="1">
        <v>25701</v>
      </c>
      <c r="D393" s="1">
        <v>20.13999939</v>
      </c>
      <c r="E393" s="1">
        <v>20.13999939</v>
      </c>
      <c r="F393" s="1">
        <v>0</v>
      </c>
      <c r="G393" s="1">
        <v>16.81999969</v>
      </c>
      <c r="H393" s="1">
        <v>1.6299999949999999</v>
      </c>
      <c r="I393" s="1">
        <v>1.690000057</v>
      </c>
      <c r="J393" s="1">
        <v>0</v>
      </c>
      <c r="K393" s="1">
        <v>165</v>
      </c>
      <c r="L393" s="1">
        <v>36</v>
      </c>
      <c r="M393" s="1">
        <v>97</v>
      </c>
      <c r="N393" s="1">
        <v>1142</v>
      </c>
      <c r="O393" s="1">
        <v>3697</v>
      </c>
      <c r="P393" s="1" t="s">
        <v>16</v>
      </c>
      <c r="Q393" t="str">
        <f>TEXT(dailyActivity_merged[[#This Row],[ActivityDate]],"dddd")</f>
        <v>Sunday</v>
      </c>
    </row>
    <row r="394" spans="1:17" x14ac:dyDescent="0.35">
      <c r="A394" s="1">
        <v>8053475328</v>
      </c>
      <c r="B394" s="2">
        <v>42464</v>
      </c>
      <c r="C394" s="1">
        <v>17395</v>
      </c>
      <c r="D394" s="1">
        <v>13.210000040000001</v>
      </c>
      <c r="E394" s="1">
        <v>13.210000040000001</v>
      </c>
      <c r="F394" s="1">
        <v>0</v>
      </c>
      <c r="G394" s="1">
        <v>9.6700000760000009</v>
      </c>
      <c r="H394" s="1">
        <v>0.18000000699999999</v>
      </c>
      <c r="I394" s="1">
        <v>3.3499999049999998</v>
      </c>
      <c r="J394" s="1">
        <v>0</v>
      </c>
      <c r="K394" s="1">
        <v>100</v>
      </c>
      <c r="L394" s="1">
        <v>4</v>
      </c>
      <c r="M394" s="1">
        <v>213</v>
      </c>
      <c r="N394" s="1">
        <v>1123</v>
      </c>
      <c r="O394" s="1">
        <v>3209</v>
      </c>
      <c r="P394" s="1" t="s">
        <v>16</v>
      </c>
      <c r="Q394" t="str">
        <f>TEXT(dailyActivity_merged[[#This Row],[ActivityDate]],"dddd")</f>
        <v>Monday</v>
      </c>
    </row>
    <row r="395" spans="1:17" x14ac:dyDescent="0.35">
      <c r="A395" s="1">
        <v>8053475328</v>
      </c>
      <c r="B395" s="2">
        <v>42465</v>
      </c>
      <c r="C395" s="1">
        <v>17167</v>
      </c>
      <c r="D395" s="1">
        <v>13.40999985</v>
      </c>
      <c r="E395" s="1">
        <v>13.40999985</v>
      </c>
      <c r="F395" s="1">
        <v>0</v>
      </c>
      <c r="G395" s="1">
        <v>9.9600000380000004</v>
      </c>
      <c r="H395" s="1">
        <v>0.310000002</v>
      </c>
      <c r="I395" s="1">
        <v>3.1400001049999999</v>
      </c>
      <c r="J395" s="1">
        <v>0</v>
      </c>
      <c r="K395" s="1">
        <v>98</v>
      </c>
      <c r="L395" s="1">
        <v>8</v>
      </c>
      <c r="M395" s="1">
        <v>184</v>
      </c>
      <c r="N395" s="1">
        <v>1150</v>
      </c>
      <c r="O395" s="1">
        <v>3167</v>
      </c>
      <c r="P395" s="1" t="s">
        <v>16</v>
      </c>
      <c r="Q395" t="str">
        <f>TEXT(dailyActivity_merged[[#This Row],[ActivityDate]],"dddd")</f>
        <v>Tuesday</v>
      </c>
    </row>
    <row r="396" spans="1:17" x14ac:dyDescent="0.35">
      <c r="A396" s="1">
        <v>8053475328</v>
      </c>
      <c r="B396" s="2">
        <v>42466</v>
      </c>
      <c r="C396" s="1">
        <v>16435</v>
      </c>
      <c r="D396" s="1">
        <v>12.420000079999999</v>
      </c>
      <c r="E396" s="1">
        <v>12.420000079999999</v>
      </c>
      <c r="F396" s="1">
        <v>0</v>
      </c>
      <c r="G396" s="1">
        <v>8.9600000380000004</v>
      </c>
      <c r="H396" s="1">
        <v>0.55000001200000004</v>
      </c>
      <c r="I396" s="1">
        <v>2.9100000860000002</v>
      </c>
      <c r="J396" s="1">
        <v>0</v>
      </c>
      <c r="K396" s="1">
        <v>100</v>
      </c>
      <c r="L396" s="1">
        <v>14</v>
      </c>
      <c r="M396" s="1">
        <v>191</v>
      </c>
      <c r="N396" s="1">
        <v>1135</v>
      </c>
      <c r="O396" s="1">
        <v>3122</v>
      </c>
      <c r="P396" s="1" t="s">
        <v>16</v>
      </c>
      <c r="Q396" t="str">
        <f>TEXT(dailyActivity_merged[[#This Row],[ActivityDate]],"dddd")</f>
        <v>Wednesday</v>
      </c>
    </row>
    <row r="397" spans="1:17" x14ac:dyDescent="0.35">
      <c r="A397" s="1">
        <v>8053475328</v>
      </c>
      <c r="B397" s="2">
        <v>42467</v>
      </c>
      <c r="C397" s="1">
        <v>17078</v>
      </c>
      <c r="D397" s="1">
        <v>13.19999981</v>
      </c>
      <c r="E397" s="1">
        <v>13.19999981</v>
      </c>
      <c r="F397" s="1">
        <v>0</v>
      </c>
      <c r="G397" s="1">
        <v>9.9700002669999996</v>
      </c>
      <c r="H397" s="1">
        <v>0.23999999499999999</v>
      </c>
      <c r="I397" s="1">
        <v>2.9900000100000002</v>
      </c>
      <c r="J397" s="1">
        <v>0</v>
      </c>
      <c r="K397" s="1">
        <v>101</v>
      </c>
      <c r="L397" s="1">
        <v>6</v>
      </c>
      <c r="M397" s="1">
        <v>190</v>
      </c>
      <c r="N397" s="1">
        <v>1143</v>
      </c>
      <c r="O397" s="1">
        <v>3176</v>
      </c>
      <c r="P397" s="1" t="s">
        <v>16</v>
      </c>
      <c r="Q397" t="str">
        <f>TEXT(dailyActivity_merged[[#This Row],[ActivityDate]],"dddd")</f>
        <v>Thursday</v>
      </c>
    </row>
    <row r="398" spans="1:17" x14ac:dyDescent="0.35">
      <c r="A398" s="1">
        <v>8053475328</v>
      </c>
      <c r="B398" s="2">
        <v>42468</v>
      </c>
      <c r="C398" s="1">
        <v>11693</v>
      </c>
      <c r="D398" s="1">
        <v>9.5399999619999996</v>
      </c>
      <c r="E398" s="1">
        <v>9.5399999619999996</v>
      </c>
      <c r="F398" s="1">
        <v>0</v>
      </c>
      <c r="G398" s="1">
        <v>6.7699999809999998</v>
      </c>
      <c r="H398" s="1">
        <v>0.25999999000000001</v>
      </c>
      <c r="I398" s="1">
        <v>2.5</v>
      </c>
      <c r="J398" s="1">
        <v>0</v>
      </c>
      <c r="K398" s="1">
        <v>60</v>
      </c>
      <c r="L398" s="1">
        <v>6</v>
      </c>
      <c r="M398" s="1">
        <v>153</v>
      </c>
      <c r="N398" s="1">
        <v>1221</v>
      </c>
      <c r="O398" s="1">
        <v>2790</v>
      </c>
      <c r="P398" s="1" t="s">
        <v>16</v>
      </c>
      <c r="Q398" t="str">
        <f>TEXT(dailyActivity_merged[[#This Row],[ActivityDate]],"dddd")</f>
        <v>Friday</v>
      </c>
    </row>
    <row r="399" spans="1:17" x14ac:dyDescent="0.35">
      <c r="A399" s="1">
        <v>8053475328</v>
      </c>
      <c r="B399" s="2">
        <v>42469</v>
      </c>
      <c r="C399" s="1">
        <v>11159</v>
      </c>
      <c r="D399" s="1">
        <v>9.1400003430000005</v>
      </c>
      <c r="E399" s="1">
        <v>9.1400003430000005</v>
      </c>
      <c r="F399" s="1">
        <v>0</v>
      </c>
      <c r="G399" s="1">
        <v>6.6900000569999998</v>
      </c>
      <c r="H399" s="1">
        <v>0.25</v>
      </c>
      <c r="I399" s="1">
        <v>2.1900000569999998</v>
      </c>
      <c r="J399" s="1">
        <v>0</v>
      </c>
      <c r="K399" s="1">
        <v>59</v>
      </c>
      <c r="L399" s="1">
        <v>6</v>
      </c>
      <c r="M399" s="1">
        <v>120</v>
      </c>
      <c r="N399" s="1">
        <v>1255</v>
      </c>
      <c r="O399" s="1">
        <v>2715</v>
      </c>
      <c r="P399" s="1" t="s">
        <v>16</v>
      </c>
      <c r="Q399" t="str">
        <f>TEXT(dailyActivity_merged[[#This Row],[ActivityDate]],"dddd")</f>
        <v>Saturday</v>
      </c>
    </row>
    <row r="400" spans="1:17" x14ac:dyDescent="0.35">
      <c r="A400" s="1">
        <v>8053475328</v>
      </c>
      <c r="B400" s="2">
        <v>42470</v>
      </c>
      <c r="C400" s="1">
        <v>10118</v>
      </c>
      <c r="D400" s="1">
        <v>7.7300000190000002</v>
      </c>
      <c r="E400" s="1">
        <v>7.7300000190000002</v>
      </c>
      <c r="F400" s="1">
        <v>0</v>
      </c>
      <c r="G400" s="1">
        <v>3.0499999519999998</v>
      </c>
      <c r="H400" s="1">
        <v>0.80000001200000004</v>
      </c>
      <c r="I400" s="1">
        <v>3.880000114</v>
      </c>
      <c r="J400" s="1">
        <v>0</v>
      </c>
      <c r="K400" s="1">
        <v>30</v>
      </c>
      <c r="L400" s="1">
        <v>18</v>
      </c>
      <c r="M400" s="1">
        <v>207</v>
      </c>
      <c r="N400" s="1">
        <v>1185</v>
      </c>
      <c r="O400" s="1">
        <v>2684</v>
      </c>
      <c r="P400" s="1" t="s">
        <v>16</v>
      </c>
      <c r="Q400" t="str">
        <f>TEXT(dailyActivity_merged[[#This Row],[ActivityDate]],"dddd")</f>
        <v>Sunday</v>
      </c>
    </row>
    <row r="401" spans="1:17" x14ac:dyDescent="0.35">
      <c r="A401" s="1">
        <v>8053475328</v>
      </c>
      <c r="B401" s="2">
        <v>42471</v>
      </c>
      <c r="C401" s="1">
        <v>16064</v>
      </c>
      <c r="D401" s="1">
        <v>12.72000027</v>
      </c>
      <c r="E401" s="1">
        <v>12.72000027</v>
      </c>
      <c r="F401" s="1">
        <v>0</v>
      </c>
      <c r="G401" s="1">
        <v>9.9799995419999998</v>
      </c>
      <c r="H401" s="1">
        <v>0.36000001399999998</v>
      </c>
      <c r="I401" s="1">
        <v>2.380000114</v>
      </c>
      <c r="J401" s="1">
        <v>0</v>
      </c>
      <c r="K401" s="1">
        <v>96</v>
      </c>
      <c r="L401" s="1">
        <v>8</v>
      </c>
      <c r="M401" s="1">
        <v>155</v>
      </c>
      <c r="N401" s="1">
        <v>1181</v>
      </c>
      <c r="O401" s="1">
        <v>3097</v>
      </c>
      <c r="P401" s="1" t="s">
        <v>16</v>
      </c>
      <c r="Q401" t="str">
        <f>TEXT(dailyActivity_merged[[#This Row],[ActivityDate]],"dddd")</f>
        <v>Monday</v>
      </c>
    </row>
    <row r="402" spans="1:17" x14ac:dyDescent="0.35">
      <c r="A402" s="1">
        <v>8053475328</v>
      </c>
      <c r="B402" s="2">
        <v>42472</v>
      </c>
      <c r="C402" s="1">
        <v>290</v>
      </c>
      <c r="D402" s="1">
        <v>0.209999993</v>
      </c>
      <c r="E402" s="1">
        <v>0.209999993</v>
      </c>
      <c r="F402" s="1">
        <v>0</v>
      </c>
      <c r="G402" s="1">
        <v>0</v>
      </c>
      <c r="H402" s="1">
        <v>0</v>
      </c>
      <c r="I402" s="1">
        <v>0.209999993</v>
      </c>
      <c r="J402" s="1">
        <v>0</v>
      </c>
      <c r="K402" s="1">
        <v>0</v>
      </c>
      <c r="L402" s="1">
        <v>0</v>
      </c>
      <c r="M402" s="1">
        <v>16</v>
      </c>
      <c r="N402" s="1">
        <v>599</v>
      </c>
      <c r="O402" s="1">
        <v>791</v>
      </c>
      <c r="P402" s="1" t="s">
        <v>17</v>
      </c>
      <c r="Q402" t="str">
        <f>TEXT(dailyActivity_merged[[#This Row],[ActivityDate]],"dddd")</f>
        <v>Tuesday</v>
      </c>
    </row>
    <row r="403" spans="1:17" x14ac:dyDescent="0.35">
      <c r="A403" s="1">
        <v>8253242879</v>
      </c>
      <c r="B403" s="2">
        <v>42461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1440</v>
      </c>
      <c r="O403" s="1">
        <v>1429</v>
      </c>
      <c r="P403" s="1" t="s">
        <v>17</v>
      </c>
      <c r="Q403" t="str">
        <f>TEXT(dailyActivity_merged[[#This Row],[ActivityDate]],"dddd")</f>
        <v>Friday</v>
      </c>
    </row>
    <row r="404" spans="1:17" x14ac:dyDescent="0.35">
      <c r="A404" s="1">
        <v>8253242879</v>
      </c>
      <c r="B404" s="2">
        <v>42462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1440</v>
      </c>
      <c r="O404" s="1">
        <v>1429</v>
      </c>
      <c r="P404" s="1" t="s">
        <v>17</v>
      </c>
      <c r="Q404" t="str">
        <f>TEXT(dailyActivity_merged[[#This Row],[ActivityDate]],"dddd")</f>
        <v>Saturday</v>
      </c>
    </row>
    <row r="405" spans="1:17" x14ac:dyDescent="0.35">
      <c r="A405" s="1">
        <v>8253242879</v>
      </c>
      <c r="B405" s="2">
        <v>42463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1440</v>
      </c>
      <c r="O405" s="1">
        <v>1429</v>
      </c>
      <c r="P405" s="1" t="s">
        <v>17</v>
      </c>
      <c r="Q405" t="str">
        <f>TEXT(dailyActivity_merged[[#This Row],[ActivityDate]],"dddd")</f>
        <v>Sunday</v>
      </c>
    </row>
    <row r="406" spans="1:17" x14ac:dyDescent="0.35">
      <c r="A406" s="1">
        <v>8253242879</v>
      </c>
      <c r="B406" s="2">
        <v>42464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1440</v>
      </c>
      <c r="O406" s="1">
        <v>1429</v>
      </c>
      <c r="P406" s="1" t="s">
        <v>17</v>
      </c>
      <c r="Q406" t="str">
        <f>TEXT(dailyActivity_merged[[#This Row],[ActivityDate]],"dddd")</f>
        <v>Monday</v>
      </c>
    </row>
    <row r="407" spans="1:17" x14ac:dyDescent="0.35">
      <c r="A407" s="1">
        <v>8253242879</v>
      </c>
      <c r="B407" s="2">
        <v>42465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1440</v>
      </c>
      <c r="O407" s="1">
        <v>1429</v>
      </c>
      <c r="P407" s="1" t="s">
        <v>17</v>
      </c>
      <c r="Q407" t="str">
        <f>TEXT(dailyActivity_merged[[#This Row],[ActivityDate]],"dddd")</f>
        <v>Tuesday</v>
      </c>
    </row>
    <row r="408" spans="1:17" x14ac:dyDescent="0.35">
      <c r="A408" s="1">
        <v>8253242879</v>
      </c>
      <c r="B408" s="2">
        <v>42466</v>
      </c>
      <c r="C408" s="1">
        <v>1931</v>
      </c>
      <c r="D408" s="1">
        <v>1.2799999710000001</v>
      </c>
      <c r="E408" s="1">
        <v>1.2799999710000001</v>
      </c>
      <c r="F408" s="1">
        <v>0</v>
      </c>
      <c r="G408" s="1">
        <v>0</v>
      </c>
      <c r="H408" s="1">
        <v>0</v>
      </c>
      <c r="I408" s="1">
        <v>1.2799999710000001</v>
      </c>
      <c r="J408" s="1">
        <v>0</v>
      </c>
      <c r="K408" s="1">
        <v>0</v>
      </c>
      <c r="L408" s="1">
        <v>0</v>
      </c>
      <c r="M408" s="1">
        <v>94</v>
      </c>
      <c r="N408" s="1">
        <v>1346</v>
      </c>
      <c r="O408" s="1">
        <v>1607</v>
      </c>
      <c r="P408" s="1" t="s">
        <v>17</v>
      </c>
      <c r="Q408" t="str">
        <f>TEXT(dailyActivity_merged[[#This Row],[ActivityDate]],"dddd")</f>
        <v>Wednesday</v>
      </c>
    </row>
    <row r="409" spans="1:17" x14ac:dyDescent="0.35">
      <c r="A409" s="1">
        <v>8253242879</v>
      </c>
      <c r="B409" s="2">
        <v>42467</v>
      </c>
      <c r="C409" s="1">
        <v>5181</v>
      </c>
      <c r="D409" s="1">
        <v>3.420000076</v>
      </c>
      <c r="E409" s="1">
        <v>3.420000076</v>
      </c>
      <c r="F409" s="1">
        <v>0</v>
      </c>
      <c r="G409" s="1">
        <v>1</v>
      </c>
      <c r="H409" s="1">
        <v>0.91000002599999996</v>
      </c>
      <c r="I409" s="1">
        <v>1.5099999900000001</v>
      </c>
      <c r="J409" s="1">
        <v>0.01</v>
      </c>
      <c r="K409" s="1">
        <v>15</v>
      </c>
      <c r="L409" s="1">
        <v>15</v>
      </c>
      <c r="M409" s="1">
        <v>107</v>
      </c>
      <c r="N409" s="1">
        <v>1303</v>
      </c>
      <c r="O409" s="1">
        <v>1776</v>
      </c>
      <c r="P409" s="1" t="s">
        <v>19</v>
      </c>
      <c r="Q409" t="str">
        <f>TEXT(dailyActivity_merged[[#This Row],[ActivityDate]],"dddd")</f>
        <v>Thursday</v>
      </c>
    </row>
    <row r="410" spans="1:17" x14ac:dyDescent="0.35">
      <c r="A410" s="1">
        <v>8253242879</v>
      </c>
      <c r="B410" s="2">
        <v>42468</v>
      </c>
      <c r="C410" s="1">
        <v>12026</v>
      </c>
      <c r="D410" s="1">
        <v>9.1499996190000008</v>
      </c>
      <c r="E410" s="1">
        <v>9.1499996190000008</v>
      </c>
      <c r="F410" s="1">
        <v>0</v>
      </c>
      <c r="G410" s="1">
        <v>5.6999998090000004</v>
      </c>
      <c r="H410" s="1">
        <v>0.93000000699999996</v>
      </c>
      <c r="I410" s="1">
        <v>2.5099999899999998</v>
      </c>
      <c r="J410" s="1">
        <v>0</v>
      </c>
      <c r="K410" s="1">
        <v>47</v>
      </c>
      <c r="L410" s="1">
        <v>13</v>
      </c>
      <c r="M410" s="1">
        <v>150</v>
      </c>
      <c r="N410" s="1">
        <v>1230</v>
      </c>
      <c r="O410" s="1">
        <v>2162</v>
      </c>
      <c r="P410" s="1" t="s">
        <v>16</v>
      </c>
      <c r="Q410" t="str">
        <f>TEXT(dailyActivity_merged[[#This Row],[ActivityDate]],"dddd")</f>
        <v>Friday</v>
      </c>
    </row>
    <row r="411" spans="1:17" x14ac:dyDescent="0.35">
      <c r="A411" s="1">
        <v>8253242879</v>
      </c>
      <c r="B411" s="2">
        <v>42469</v>
      </c>
      <c r="C411" s="1">
        <v>5360</v>
      </c>
      <c r="D411" s="1">
        <v>3.539999962</v>
      </c>
      <c r="E411" s="1">
        <v>3.539999962</v>
      </c>
      <c r="F411" s="1">
        <v>0</v>
      </c>
      <c r="G411" s="1">
        <v>0.540000021</v>
      </c>
      <c r="H411" s="1">
        <v>1.5499999520000001</v>
      </c>
      <c r="I411" s="1">
        <v>1.460000038</v>
      </c>
      <c r="J411" s="1">
        <v>0</v>
      </c>
      <c r="K411" s="1">
        <v>8</v>
      </c>
      <c r="L411" s="1">
        <v>28</v>
      </c>
      <c r="M411" s="1">
        <v>148</v>
      </c>
      <c r="N411" s="1">
        <v>1256</v>
      </c>
      <c r="O411" s="1">
        <v>1832</v>
      </c>
      <c r="P411" s="1" t="s">
        <v>19</v>
      </c>
      <c r="Q411" t="str">
        <f>TEXT(dailyActivity_merged[[#This Row],[ActivityDate]],"dddd")</f>
        <v>Saturday</v>
      </c>
    </row>
    <row r="412" spans="1:17" x14ac:dyDescent="0.35">
      <c r="A412" s="1">
        <v>8253242879</v>
      </c>
      <c r="B412" s="2">
        <v>42470</v>
      </c>
      <c r="C412" s="1">
        <v>2545</v>
      </c>
      <c r="D412" s="1">
        <v>1.6799999480000001</v>
      </c>
      <c r="E412" s="1">
        <v>1.6799999480000001</v>
      </c>
      <c r="F412" s="1">
        <v>0</v>
      </c>
      <c r="G412" s="1">
        <v>0</v>
      </c>
      <c r="H412" s="1">
        <v>0</v>
      </c>
      <c r="I412" s="1">
        <v>1.6699999569999999</v>
      </c>
      <c r="J412" s="1">
        <v>0.02</v>
      </c>
      <c r="K412" s="1">
        <v>0</v>
      </c>
      <c r="L412" s="1">
        <v>0</v>
      </c>
      <c r="M412" s="1">
        <v>126</v>
      </c>
      <c r="N412" s="1">
        <v>1314</v>
      </c>
      <c r="O412" s="1">
        <v>1657</v>
      </c>
      <c r="P412" s="1" t="s">
        <v>17</v>
      </c>
      <c r="Q412" t="str">
        <f>TEXT(dailyActivity_merged[[#This Row],[ActivityDate]],"dddd")</f>
        <v>Sunday</v>
      </c>
    </row>
    <row r="413" spans="1:17" x14ac:dyDescent="0.35">
      <c r="A413" s="1">
        <v>8253242879</v>
      </c>
      <c r="B413" s="2">
        <v>42471</v>
      </c>
      <c r="C413" s="1">
        <v>1636</v>
      </c>
      <c r="D413" s="1">
        <v>1.0800000430000001</v>
      </c>
      <c r="E413" s="1">
        <v>1.0800000430000001</v>
      </c>
      <c r="F413" s="1">
        <v>0</v>
      </c>
      <c r="G413" s="1">
        <v>0</v>
      </c>
      <c r="H413" s="1">
        <v>0</v>
      </c>
      <c r="I413" s="1">
        <v>1.0800000430000001</v>
      </c>
      <c r="J413" s="1">
        <v>0</v>
      </c>
      <c r="K413" s="1">
        <v>0</v>
      </c>
      <c r="L413" s="1">
        <v>0</v>
      </c>
      <c r="M413" s="1">
        <v>86</v>
      </c>
      <c r="N413" s="1">
        <v>1139</v>
      </c>
      <c r="O413" s="1">
        <v>1377</v>
      </c>
      <c r="P413" s="1" t="s">
        <v>17</v>
      </c>
      <c r="Q413" t="str">
        <f>TEXT(dailyActivity_merged[[#This Row],[ActivityDate]],"dddd")</f>
        <v>Monday</v>
      </c>
    </row>
    <row r="414" spans="1:17" x14ac:dyDescent="0.35">
      <c r="A414" s="1">
        <v>8253242879</v>
      </c>
      <c r="B414" s="2">
        <v>42472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1440</v>
      </c>
      <c r="O414" s="1">
        <v>0</v>
      </c>
      <c r="P414" s="1" t="s">
        <v>17</v>
      </c>
      <c r="Q414" t="str">
        <f>TEXT(dailyActivity_merged[[#This Row],[ActivityDate]],"dddd")</f>
        <v>Tuesday</v>
      </c>
    </row>
    <row r="415" spans="1:17" x14ac:dyDescent="0.35">
      <c r="A415" s="1">
        <v>8378563200</v>
      </c>
      <c r="B415" s="2">
        <v>42461</v>
      </c>
      <c r="C415" s="1">
        <v>14179</v>
      </c>
      <c r="D415" s="1">
        <v>11.239999770000001</v>
      </c>
      <c r="E415" s="1">
        <v>11.239999770000001</v>
      </c>
      <c r="F415" s="1">
        <v>0</v>
      </c>
      <c r="G415" s="1">
        <v>6.2300000190000002</v>
      </c>
      <c r="H415" s="1">
        <v>1.059999943</v>
      </c>
      <c r="I415" s="1">
        <v>3.960000038</v>
      </c>
      <c r="J415" s="1">
        <v>0</v>
      </c>
      <c r="K415" s="1">
        <v>73</v>
      </c>
      <c r="L415" s="1">
        <v>21</v>
      </c>
      <c r="M415" s="1">
        <v>195</v>
      </c>
      <c r="N415" s="1">
        <v>719</v>
      </c>
      <c r="O415" s="1">
        <v>3669</v>
      </c>
      <c r="P415" s="1" t="s">
        <v>16</v>
      </c>
      <c r="Q415" t="str">
        <f>TEXT(dailyActivity_merged[[#This Row],[ActivityDate]],"dddd")</f>
        <v>Friday</v>
      </c>
    </row>
    <row r="416" spans="1:17" x14ac:dyDescent="0.35">
      <c r="A416" s="1">
        <v>8378563200</v>
      </c>
      <c r="B416" s="2">
        <v>42462</v>
      </c>
      <c r="C416" s="1">
        <v>3358</v>
      </c>
      <c r="D416" s="1">
        <v>2.6600000860000002</v>
      </c>
      <c r="E416" s="1">
        <v>2.6600000860000002</v>
      </c>
      <c r="F416" s="1">
        <v>0</v>
      </c>
      <c r="G416" s="1">
        <v>0</v>
      </c>
      <c r="H416" s="1">
        <v>0</v>
      </c>
      <c r="I416" s="1">
        <v>2.6600000860000002</v>
      </c>
      <c r="J416" s="1">
        <v>0</v>
      </c>
      <c r="K416" s="1">
        <v>0</v>
      </c>
      <c r="L416" s="1">
        <v>0</v>
      </c>
      <c r="M416" s="1">
        <v>144</v>
      </c>
      <c r="N416" s="1">
        <v>657</v>
      </c>
      <c r="O416" s="1">
        <v>2702</v>
      </c>
      <c r="P416" s="1" t="s">
        <v>17</v>
      </c>
      <c r="Q416" t="str">
        <f>TEXT(dailyActivity_merged[[#This Row],[ActivityDate]],"dddd")</f>
        <v>Saturday</v>
      </c>
    </row>
    <row r="417" spans="1:17" x14ac:dyDescent="0.35">
      <c r="A417" s="1">
        <v>8378563200</v>
      </c>
      <c r="B417" s="2">
        <v>42463</v>
      </c>
      <c r="C417" s="1">
        <v>9152</v>
      </c>
      <c r="D417" s="1">
        <v>7.2600002290000001</v>
      </c>
      <c r="E417" s="1">
        <v>7.2600002290000001</v>
      </c>
      <c r="F417" s="1">
        <v>0</v>
      </c>
      <c r="G417" s="1">
        <v>1.9900000099999999</v>
      </c>
      <c r="H417" s="1">
        <v>0.81999999300000004</v>
      </c>
      <c r="I417" s="1">
        <v>4.4499998090000004</v>
      </c>
      <c r="J417" s="1">
        <v>0</v>
      </c>
      <c r="K417" s="1">
        <v>25</v>
      </c>
      <c r="L417" s="1">
        <v>13</v>
      </c>
      <c r="M417" s="1">
        <v>243</v>
      </c>
      <c r="N417" s="1">
        <v>600</v>
      </c>
      <c r="O417" s="1">
        <v>3304</v>
      </c>
      <c r="P417" s="1" t="s">
        <v>18</v>
      </c>
      <c r="Q417" t="str">
        <f>TEXT(dailyActivity_merged[[#This Row],[ActivityDate]],"dddd")</f>
        <v>Sunday</v>
      </c>
    </row>
    <row r="418" spans="1:17" x14ac:dyDescent="0.35">
      <c r="A418" s="1">
        <v>8378563200</v>
      </c>
      <c r="B418" s="2">
        <v>42464</v>
      </c>
      <c r="C418" s="1">
        <v>13935</v>
      </c>
      <c r="D418" s="1">
        <v>11.05000019</v>
      </c>
      <c r="E418" s="1">
        <v>11.05000019</v>
      </c>
      <c r="F418" s="1">
        <v>2.0921471120000001</v>
      </c>
      <c r="G418" s="1">
        <v>4.0900001530000001</v>
      </c>
      <c r="H418" s="1">
        <v>0.790000021</v>
      </c>
      <c r="I418" s="1">
        <v>6.170000076</v>
      </c>
      <c r="J418" s="1">
        <v>0</v>
      </c>
      <c r="K418" s="1">
        <v>105</v>
      </c>
      <c r="L418" s="1">
        <v>16</v>
      </c>
      <c r="M418" s="1">
        <v>220</v>
      </c>
      <c r="N418" s="1">
        <v>658</v>
      </c>
      <c r="O418" s="1">
        <v>4234</v>
      </c>
      <c r="P418" s="1" t="s">
        <v>16</v>
      </c>
      <c r="Q418" t="str">
        <f>TEXT(dailyActivity_merged[[#This Row],[ActivityDate]],"dddd")</f>
        <v>Monday</v>
      </c>
    </row>
    <row r="419" spans="1:17" x14ac:dyDescent="0.35">
      <c r="A419" s="1">
        <v>8378563200</v>
      </c>
      <c r="B419" s="2">
        <v>42465</v>
      </c>
      <c r="C419" s="1">
        <v>12846</v>
      </c>
      <c r="D419" s="1">
        <v>10.18999958</v>
      </c>
      <c r="E419" s="1">
        <v>10.18999958</v>
      </c>
      <c r="F419" s="1">
        <v>2.2530810830000001</v>
      </c>
      <c r="G419" s="1">
        <v>5</v>
      </c>
      <c r="H419" s="1">
        <v>0.75</v>
      </c>
      <c r="I419" s="1">
        <v>4.4400000569999998</v>
      </c>
      <c r="J419" s="1">
        <v>0</v>
      </c>
      <c r="K419" s="1">
        <v>113</v>
      </c>
      <c r="L419" s="1">
        <v>15</v>
      </c>
      <c r="M419" s="1">
        <v>189</v>
      </c>
      <c r="N419" s="1">
        <v>686</v>
      </c>
      <c r="O419" s="1">
        <v>4128</v>
      </c>
      <c r="P419" s="1" t="s">
        <v>16</v>
      </c>
      <c r="Q419" t="str">
        <f>TEXT(dailyActivity_merged[[#This Row],[ActivityDate]],"dddd")</f>
        <v>Tuesday</v>
      </c>
    </row>
    <row r="420" spans="1:17" x14ac:dyDescent="0.35">
      <c r="A420" s="1">
        <v>8378563200</v>
      </c>
      <c r="B420" s="2">
        <v>42466</v>
      </c>
      <c r="C420" s="1">
        <v>9124</v>
      </c>
      <c r="D420" s="1">
        <v>7.2399997709999999</v>
      </c>
      <c r="E420" s="1">
        <v>7.2399997709999999</v>
      </c>
      <c r="F420" s="1">
        <v>2.0921471120000001</v>
      </c>
      <c r="G420" s="1">
        <v>0</v>
      </c>
      <c r="H420" s="1">
        <v>0.25</v>
      </c>
      <c r="I420" s="1">
        <v>6.9899997709999999</v>
      </c>
      <c r="J420" s="1">
        <v>0</v>
      </c>
      <c r="K420" s="1">
        <v>55</v>
      </c>
      <c r="L420" s="1">
        <v>6</v>
      </c>
      <c r="M420" s="1">
        <v>230</v>
      </c>
      <c r="N420" s="1">
        <v>728</v>
      </c>
      <c r="O420" s="1">
        <v>3798</v>
      </c>
      <c r="P420" s="1" t="s">
        <v>18</v>
      </c>
      <c r="Q420" t="str">
        <f>TEXT(dailyActivity_merged[[#This Row],[ActivityDate]],"dddd")</f>
        <v>Wednesday</v>
      </c>
    </row>
    <row r="421" spans="1:17" x14ac:dyDescent="0.35">
      <c r="A421" s="1">
        <v>8378563200</v>
      </c>
      <c r="B421" s="2">
        <v>42467</v>
      </c>
      <c r="C421" s="1">
        <v>9725</v>
      </c>
      <c r="D421" s="1">
        <v>7.7100000380000004</v>
      </c>
      <c r="E421" s="1">
        <v>7.7100000380000004</v>
      </c>
      <c r="F421" s="1">
        <v>2.2530810830000001</v>
      </c>
      <c r="G421" s="1">
        <v>2.4100000860000002</v>
      </c>
      <c r="H421" s="1">
        <v>0.52999997099999996</v>
      </c>
      <c r="I421" s="1">
        <v>4.7699999809999998</v>
      </c>
      <c r="J421" s="1">
        <v>0</v>
      </c>
      <c r="K421" s="1">
        <v>83</v>
      </c>
      <c r="L421" s="1">
        <v>11</v>
      </c>
      <c r="M421" s="1">
        <v>181</v>
      </c>
      <c r="N421" s="1">
        <v>670</v>
      </c>
      <c r="O421" s="1">
        <v>3839</v>
      </c>
      <c r="P421" s="1" t="s">
        <v>18</v>
      </c>
      <c r="Q421" t="str">
        <f>TEXT(dailyActivity_merged[[#This Row],[ActivityDate]],"dddd")</f>
        <v>Thursday</v>
      </c>
    </row>
    <row r="422" spans="1:17" x14ac:dyDescent="0.35">
      <c r="A422" s="1">
        <v>8378563200</v>
      </c>
      <c r="B422" s="2">
        <v>42468</v>
      </c>
      <c r="C422" s="1">
        <v>8350</v>
      </c>
      <c r="D422" s="1">
        <v>6.6199998860000004</v>
      </c>
      <c r="E422" s="1">
        <v>6.6199998860000004</v>
      </c>
      <c r="F422" s="1">
        <v>2.0921471120000001</v>
      </c>
      <c r="G422" s="1">
        <v>1.4900000099999999</v>
      </c>
      <c r="H422" s="1">
        <v>0.52999997099999996</v>
      </c>
      <c r="I422" s="1">
        <v>4.6100001339999999</v>
      </c>
      <c r="J422" s="1">
        <v>0</v>
      </c>
      <c r="K422" s="1">
        <v>72</v>
      </c>
      <c r="L422" s="1">
        <v>10</v>
      </c>
      <c r="M422" s="1">
        <v>167</v>
      </c>
      <c r="N422" s="1">
        <v>868</v>
      </c>
      <c r="O422" s="1">
        <v>3713</v>
      </c>
      <c r="P422" s="1" t="s">
        <v>18</v>
      </c>
      <c r="Q422" t="str">
        <f>TEXT(dailyActivity_merged[[#This Row],[ActivityDate]],"dddd")</f>
        <v>Friday</v>
      </c>
    </row>
    <row r="423" spans="1:17" x14ac:dyDescent="0.35">
      <c r="A423" s="1">
        <v>8378563200</v>
      </c>
      <c r="B423" s="2">
        <v>42469</v>
      </c>
      <c r="C423" s="1">
        <v>2240</v>
      </c>
      <c r="D423" s="1">
        <v>1.7799999710000001</v>
      </c>
      <c r="E423" s="1">
        <v>1.7799999710000001</v>
      </c>
      <c r="F423" s="1">
        <v>0</v>
      </c>
      <c r="G423" s="1">
        <v>0</v>
      </c>
      <c r="H423" s="1">
        <v>0</v>
      </c>
      <c r="I423" s="1">
        <v>1.7799999710000001</v>
      </c>
      <c r="J423" s="1">
        <v>0</v>
      </c>
      <c r="K423" s="1">
        <v>0</v>
      </c>
      <c r="L423" s="1">
        <v>0</v>
      </c>
      <c r="M423" s="1">
        <v>110</v>
      </c>
      <c r="N423" s="1">
        <v>843</v>
      </c>
      <c r="O423" s="1">
        <v>2606</v>
      </c>
      <c r="P423" s="1" t="s">
        <v>17</v>
      </c>
      <c r="Q423" t="str">
        <f>TEXT(dailyActivity_merged[[#This Row],[ActivityDate]],"dddd")</f>
        <v>Saturday</v>
      </c>
    </row>
    <row r="424" spans="1:17" x14ac:dyDescent="0.35">
      <c r="A424" s="1">
        <v>8378563200</v>
      </c>
      <c r="B424" s="2">
        <v>42470</v>
      </c>
      <c r="C424" s="1">
        <v>2631</v>
      </c>
      <c r="D424" s="1">
        <v>2.0899999139999998</v>
      </c>
      <c r="E424" s="1">
        <v>2.0899999139999998</v>
      </c>
      <c r="F424" s="1">
        <v>0</v>
      </c>
      <c r="G424" s="1">
        <v>0</v>
      </c>
      <c r="H424" s="1">
        <v>0</v>
      </c>
      <c r="I424" s="1">
        <v>2.0899999139999998</v>
      </c>
      <c r="J424" s="1">
        <v>0</v>
      </c>
      <c r="K424" s="1">
        <v>0</v>
      </c>
      <c r="L424" s="1">
        <v>0</v>
      </c>
      <c r="M424" s="1">
        <v>117</v>
      </c>
      <c r="N424" s="1">
        <v>727</v>
      </c>
      <c r="O424" s="1">
        <v>2624</v>
      </c>
      <c r="P424" s="1" t="s">
        <v>17</v>
      </c>
      <c r="Q424" t="str">
        <f>TEXT(dailyActivity_merged[[#This Row],[ActivityDate]],"dddd")</f>
        <v>Sunday</v>
      </c>
    </row>
    <row r="425" spans="1:17" x14ac:dyDescent="0.35">
      <c r="A425" s="1">
        <v>8378563200</v>
      </c>
      <c r="B425" s="2">
        <v>42471</v>
      </c>
      <c r="C425" s="1">
        <v>8837</v>
      </c>
      <c r="D425" s="1">
        <v>7.0100002290000001</v>
      </c>
      <c r="E425" s="1">
        <v>7.0100002290000001</v>
      </c>
      <c r="F425" s="1">
        <v>2.0921471120000001</v>
      </c>
      <c r="G425" s="1">
        <v>1.539999962</v>
      </c>
      <c r="H425" s="1">
        <v>0.87999999500000003</v>
      </c>
      <c r="I425" s="1">
        <v>4.5900001530000001</v>
      </c>
      <c r="J425" s="1">
        <v>0</v>
      </c>
      <c r="K425" s="1">
        <v>74</v>
      </c>
      <c r="L425" s="1">
        <v>17</v>
      </c>
      <c r="M425" s="1">
        <v>182</v>
      </c>
      <c r="N425" s="1">
        <v>811</v>
      </c>
      <c r="O425" s="1">
        <v>3775</v>
      </c>
      <c r="P425" s="1" t="s">
        <v>18</v>
      </c>
      <c r="Q425" t="str">
        <f>TEXT(dailyActivity_merged[[#This Row],[ActivityDate]],"dddd")</f>
        <v>Monday</v>
      </c>
    </row>
    <row r="426" spans="1:17" x14ac:dyDescent="0.35">
      <c r="A426" s="1">
        <v>8378563200</v>
      </c>
      <c r="B426" s="2">
        <v>42472</v>
      </c>
      <c r="C426" s="1">
        <v>3246</v>
      </c>
      <c r="D426" s="1">
        <v>2.5699999330000001</v>
      </c>
      <c r="E426" s="1">
        <v>2.5699999330000001</v>
      </c>
      <c r="F426" s="1">
        <v>2.2530810830000001</v>
      </c>
      <c r="G426" s="1">
        <v>0.829999983</v>
      </c>
      <c r="H426" s="1">
        <v>0.709999979</v>
      </c>
      <c r="I426" s="1">
        <v>1.0299999710000001</v>
      </c>
      <c r="J426" s="1">
        <v>0</v>
      </c>
      <c r="K426" s="1">
        <v>65</v>
      </c>
      <c r="L426" s="1">
        <v>15</v>
      </c>
      <c r="M426" s="1">
        <v>49</v>
      </c>
      <c r="N426" s="1">
        <v>243</v>
      </c>
      <c r="O426" s="1">
        <v>1882</v>
      </c>
      <c r="P426" s="1" t="s">
        <v>17</v>
      </c>
      <c r="Q426" t="str">
        <f>TEXT(dailyActivity_merged[[#This Row],[ActivityDate]],"dddd")</f>
        <v>Tuesday</v>
      </c>
    </row>
    <row r="427" spans="1:17" x14ac:dyDescent="0.35">
      <c r="A427" s="1">
        <v>8583815059</v>
      </c>
      <c r="B427" s="2">
        <v>42461</v>
      </c>
      <c r="C427" s="1">
        <v>2174</v>
      </c>
      <c r="D427" s="1">
        <v>1.7000000479999999</v>
      </c>
      <c r="E427" s="1">
        <v>1.7000000479999999</v>
      </c>
      <c r="F427" s="1">
        <v>0</v>
      </c>
      <c r="G427" s="1">
        <v>0</v>
      </c>
      <c r="H427" s="1">
        <v>0</v>
      </c>
      <c r="I427" s="1">
        <v>1.7000000479999999</v>
      </c>
      <c r="J427" s="1">
        <v>0</v>
      </c>
      <c r="K427" s="1">
        <v>0</v>
      </c>
      <c r="L427" s="1">
        <v>0</v>
      </c>
      <c r="M427" s="1">
        <v>112</v>
      </c>
      <c r="N427" s="1">
        <v>1328</v>
      </c>
      <c r="O427" s="1">
        <v>2360</v>
      </c>
      <c r="P427" s="1" t="s">
        <v>17</v>
      </c>
      <c r="Q427" t="str">
        <f>TEXT(dailyActivity_merged[[#This Row],[ActivityDate]],"dddd")</f>
        <v>Friday</v>
      </c>
    </row>
    <row r="428" spans="1:17" x14ac:dyDescent="0.35">
      <c r="A428" s="1">
        <v>8583815059</v>
      </c>
      <c r="B428" s="2">
        <v>42462</v>
      </c>
      <c r="C428" s="1">
        <v>3494</v>
      </c>
      <c r="D428" s="1">
        <v>2.7300000190000002</v>
      </c>
      <c r="E428" s="1">
        <v>2.7300000190000002</v>
      </c>
      <c r="F428" s="1">
        <v>0</v>
      </c>
      <c r="G428" s="1">
        <v>0</v>
      </c>
      <c r="H428" s="1">
        <v>0</v>
      </c>
      <c r="I428" s="1">
        <v>2.6900000569999998</v>
      </c>
      <c r="J428" s="1">
        <v>0</v>
      </c>
      <c r="K428" s="1">
        <v>0</v>
      </c>
      <c r="L428" s="1">
        <v>0</v>
      </c>
      <c r="M428" s="1">
        <v>166</v>
      </c>
      <c r="N428" s="1">
        <v>1274</v>
      </c>
      <c r="O428" s="1">
        <v>2517</v>
      </c>
      <c r="P428" s="1" t="s">
        <v>17</v>
      </c>
      <c r="Q428" t="str">
        <f>TEXT(dailyActivity_merged[[#This Row],[ActivityDate]],"dddd")</f>
        <v>Saturday</v>
      </c>
    </row>
    <row r="429" spans="1:17" x14ac:dyDescent="0.35">
      <c r="A429" s="1">
        <v>8583815059</v>
      </c>
      <c r="B429" s="2">
        <v>42463</v>
      </c>
      <c r="C429" s="1">
        <v>2380</v>
      </c>
      <c r="D429" s="1">
        <v>1.8600000139999999</v>
      </c>
      <c r="E429" s="1">
        <v>1.8600000139999999</v>
      </c>
      <c r="F429" s="1">
        <v>0</v>
      </c>
      <c r="G429" s="1">
        <v>0</v>
      </c>
      <c r="H429" s="1">
        <v>0</v>
      </c>
      <c r="I429" s="1">
        <v>1.8600000139999999</v>
      </c>
      <c r="J429" s="1">
        <v>0</v>
      </c>
      <c r="K429" s="1">
        <v>0</v>
      </c>
      <c r="L429" s="1">
        <v>0</v>
      </c>
      <c r="M429" s="1">
        <v>131</v>
      </c>
      <c r="N429" s="1">
        <v>1309</v>
      </c>
      <c r="O429" s="1">
        <v>2400</v>
      </c>
      <c r="P429" s="1" t="s">
        <v>17</v>
      </c>
      <c r="Q429" t="str">
        <f>TEXT(dailyActivity_merged[[#This Row],[ActivityDate]],"dddd")</f>
        <v>Sunday</v>
      </c>
    </row>
    <row r="430" spans="1:17" x14ac:dyDescent="0.35">
      <c r="A430" s="1">
        <v>8583815059</v>
      </c>
      <c r="B430" s="2">
        <v>42464</v>
      </c>
      <c r="C430" s="1">
        <v>3159</v>
      </c>
      <c r="D430" s="1">
        <v>2.460000038</v>
      </c>
      <c r="E430" s="1">
        <v>2.460000038</v>
      </c>
      <c r="F430" s="1">
        <v>0</v>
      </c>
      <c r="G430" s="1">
        <v>0</v>
      </c>
      <c r="H430" s="1">
        <v>0</v>
      </c>
      <c r="I430" s="1">
        <v>2.460000038</v>
      </c>
      <c r="J430" s="1">
        <v>0</v>
      </c>
      <c r="K430" s="1">
        <v>0</v>
      </c>
      <c r="L430" s="1">
        <v>0</v>
      </c>
      <c r="M430" s="1">
        <v>147</v>
      </c>
      <c r="N430" s="1">
        <v>1293</v>
      </c>
      <c r="O430" s="1">
        <v>2462</v>
      </c>
      <c r="P430" s="1" t="s">
        <v>17</v>
      </c>
      <c r="Q430" t="str">
        <f>TEXT(dailyActivity_merged[[#This Row],[ActivityDate]],"dddd")</f>
        <v>Monday</v>
      </c>
    </row>
    <row r="431" spans="1:17" x14ac:dyDescent="0.35">
      <c r="A431" s="1">
        <v>8583815059</v>
      </c>
      <c r="B431" s="2">
        <v>42465</v>
      </c>
      <c r="C431" s="1">
        <v>6835</v>
      </c>
      <c r="D431" s="1">
        <v>5.329999924</v>
      </c>
      <c r="E431" s="1">
        <v>5.329999924</v>
      </c>
      <c r="F431" s="1">
        <v>0</v>
      </c>
      <c r="G431" s="1">
        <v>0.37000000500000002</v>
      </c>
      <c r="H431" s="1">
        <v>0.730000019</v>
      </c>
      <c r="I431" s="1">
        <v>4.2399997709999999</v>
      </c>
      <c r="J431" s="1">
        <v>0</v>
      </c>
      <c r="K431" s="1">
        <v>5</v>
      </c>
      <c r="L431" s="1">
        <v>15</v>
      </c>
      <c r="M431" s="1">
        <v>212</v>
      </c>
      <c r="N431" s="1">
        <v>1208</v>
      </c>
      <c r="O431" s="1">
        <v>2786</v>
      </c>
      <c r="P431" s="1" t="s">
        <v>19</v>
      </c>
      <c r="Q431" t="str">
        <f>TEXT(dailyActivity_merged[[#This Row],[ActivityDate]],"dddd")</f>
        <v>Tuesday</v>
      </c>
    </row>
    <row r="432" spans="1:17" x14ac:dyDescent="0.35">
      <c r="A432" s="1">
        <v>8583815059</v>
      </c>
      <c r="B432" s="2">
        <v>42466</v>
      </c>
      <c r="C432" s="1">
        <v>2098</v>
      </c>
      <c r="D432" s="1">
        <v>1.6399999860000001</v>
      </c>
      <c r="E432" s="1">
        <v>1.6399999860000001</v>
      </c>
      <c r="F432" s="1">
        <v>0</v>
      </c>
      <c r="G432" s="1">
        <v>0</v>
      </c>
      <c r="H432" s="1">
        <v>0</v>
      </c>
      <c r="I432" s="1">
        <v>1.6299999949999999</v>
      </c>
      <c r="J432" s="1">
        <v>0</v>
      </c>
      <c r="K432" s="1">
        <v>0</v>
      </c>
      <c r="L432" s="1">
        <v>0</v>
      </c>
      <c r="M432" s="1">
        <v>112</v>
      </c>
      <c r="N432" s="1">
        <v>1328</v>
      </c>
      <c r="O432" s="1">
        <v>2354</v>
      </c>
      <c r="P432" s="1" t="s">
        <v>17</v>
      </c>
      <c r="Q432" t="str">
        <f>TEXT(dailyActivity_merged[[#This Row],[ActivityDate]],"dddd")</f>
        <v>Wednesday</v>
      </c>
    </row>
    <row r="433" spans="1:17" x14ac:dyDescent="0.35">
      <c r="A433" s="1">
        <v>8583815059</v>
      </c>
      <c r="B433" s="2">
        <v>42467</v>
      </c>
      <c r="C433" s="1">
        <v>2816</v>
      </c>
      <c r="D433" s="1">
        <v>2.2000000480000002</v>
      </c>
      <c r="E433" s="1">
        <v>2.2000000480000002</v>
      </c>
      <c r="F433" s="1">
        <v>0</v>
      </c>
      <c r="G433" s="1">
        <v>0</v>
      </c>
      <c r="H433" s="1">
        <v>0</v>
      </c>
      <c r="I433" s="1">
        <v>2.2000000480000002</v>
      </c>
      <c r="J433" s="1">
        <v>0</v>
      </c>
      <c r="K433" s="1">
        <v>0</v>
      </c>
      <c r="L433" s="1">
        <v>0</v>
      </c>
      <c r="M433" s="1">
        <v>138</v>
      </c>
      <c r="N433" s="1">
        <v>1302</v>
      </c>
      <c r="O433" s="1">
        <v>2437</v>
      </c>
      <c r="P433" s="1" t="s">
        <v>17</v>
      </c>
      <c r="Q433" t="str">
        <f>TEXT(dailyActivity_merged[[#This Row],[ActivityDate]],"dddd")</f>
        <v>Thursday</v>
      </c>
    </row>
    <row r="434" spans="1:17" x14ac:dyDescent="0.35">
      <c r="A434" s="1">
        <v>8583815059</v>
      </c>
      <c r="B434" s="2">
        <v>42468</v>
      </c>
      <c r="C434" s="1">
        <v>1408</v>
      </c>
      <c r="D434" s="1">
        <v>1.1000000240000001</v>
      </c>
      <c r="E434" s="1">
        <v>1.1000000240000001</v>
      </c>
      <c r="F434" s="1">
        <v>0</v>
      </c>
      <c r="G434" s="1">
        <v>0</v>
      </c>
      <c r="H434" s="1">
        <v>0</v>
      </c>
      <c r="I434" s="1">
        <v>1.1000000240000001</v>
      </c>
      <c r="J434" s="1">
        <v>0</v>
      </c>
      <c r="K434" s="1">
        <v>0</v>
      </c>
      <c r="L434" s="1">
        <v>0</v>
      </c>
      <c r="M434" s="1">
        <v>79</v>
      </c>
      <c r="N434" s="1">
        <v>1052</v>
      </c>
      <c r="O434" s="1">
        <v>1814</v>
      </c>
      <c r="P434" s="1" t="s">
        <v>17</v>
      </c>
      <c r="Q434" t="str">
        <f>TEXT(dailyActivity_merged[[#This Row],[ActivityDate]],"dddd")</f>
        <v>Friday</v>
      </c>
    </row>
    <row r="435" spans="1:17" x14ac:dyDescent="0.35">
      <c r="A435" s="1">
        <v>8792009665</v>
      </c>
      <c r="B435" s="2">
        <v>42461</v>
      </c>
      <c r="C435" s="1">
        <v>4592</v>
      </c>
      <c r="D435" s="1">
        <v>2.9400000569999998</v>
      </c>
      <c r="E435" s="1">
        <v>2.9400000569999998</v>
      </c>
      <c r="F435" s="1">
        <v>0</v>
      </c>
      <c r="G435" s="1">
        <v>0.10000000100000001</v>
      </c>
      <c r="H435" s="1">
        <v>0.14000000100000001</v>
      </c>
      <c r="I435" s="1">
        <v>2.7000000480000002</v>
      </c>
      <c r="J435" s="1">
        <v>0</v>
      </c>
      <c r="K435" s="1">
        <v>4</v>
      </c>
      <c r="L435" s="1">
        <v>8</v>
      </c>
      <c r="M435" s="1">
        <v>176</v>
      </c>
      <c r="N435" s="1">
        <v>748</v>
      </c>
      <c r="O435" s="1">
        <v>2260</v>
      </c>
      <c r="P435" s="1" t="s">
        <v>17</v>
      </c>
      <c r="Q435" t="str">
        <f>TEXT(dailyActivity_merged[[#This Row],[ActivityDate]],"dddd")</f>
        <v>Friday</v>
      </c>
    </row>
    <row r="436" spans="1:17" x14ac:dyDescent="0.35">
      <c r="A436" s="1">
        <v>8792009665</v>
      </c>
      <c r="B436" s="2">
        <v>42462</v>
      </c>
      <c r="C436" s="1">
        <v>8452</v>
      </c>
      <c r="D436" s="1">
        <v>5.4099998469999999</v>
      </c>
      <c r="E436" s="1">
        <v>5.4099998469999999</v>
      </c>
      <c r="F436" s="1">
        <v>0</v>
      </c>
      <c r="G436" s="1">
        <v>0.25999999000000001</v>
      </c>
      <c r="H436" s="1">
        <v>0.38999998600000002</v>
      </c>
      <c r="I436" s="1">
        <v>4.7600002290000001</v>
      </c>
      <c r="J436" s="1">
        <v>0</v>
      </c>
      <c r="K436" s="1">
        <v>9</v>
      </c>
      <c r="L436" s="1">
        <v>24</v>
      </c>
      <c r="M436" s="1">
        <v>328</v>
      </c>
      <c r="N436" s="1">
        <v>1079</v>
      </c>
      <c r="O436" s="1">
        <v>3004</v>
      </c>
      <c r="P436" s="1" t="s">
        <v>18</v>
      </c>
      <c r="Q436" t="str">
        <f>TEXT(dailyActivity_merged[[#This Row],[ActivityDate]],"dddd")</f>
        <v>Saturday</v>
      </c>
    </row>
    <row r="437" spans="1:17" x14ac:dyDescent="0.35">
      <c r="A437" s="1">
        <v>8792009665</v>
      </c>
      <c r="B437" s="2">
        <v>42463</v>
      </c>
      <c r="C437" s="1">
        <v>7238</v>
      </c>
      <c r="D437" s="1">
        <v>4.6300001139999996</v>
      </c>
      <c r="E437" s="1">
        <v>4.6300001139999996</v>
      </c>
      <c r="F437" s="1">
        <v>0</v>
      </c>
      <c r="G437" s="1">
        <v>0.109999999</v>
      </c>
      <c r="H437" s="1">
        <v>0.23000000400000001</v>
      </c>
      <c r="I437" s="1">
        <v>4.2899999619999996</v>
      </c>
      <c r="J437" s="1">
        <v>0</v>
      </c>
      <c r="K437" s="1">
        <v>2</v>
      </c>
      <c r="L437" s="1">
        <v>6</v>
      </c>
      <c r="M437" s="1">
        <v>279</v>
      </c>
      <c r="N437" s="1">
        <v>636</v>
      </c>
      <c r="O437" s="1">
        <v>2667</v>
      </c>
      <c r="P437" s="1" t="s">
        <v>19</v>
      </c>
      <c r="Q437" t="str">
        <f>TEXT(dailyActivity_merged[[#This Row],[ActivityDate]],"dddd")</f>
        <v>Sunday</v>
      </c>
    </row>
    <row r="438" spans="1:17" x14ac:dyDescent="0.35">
      <c r="A438" s="1">
        <v>8792009665</v>
      </c>
      <c r="B438" s="2">
        <v>42464</v>
      </c>
      <c r="C438" s="1">
        <v>3821</v>
      </c>
      <c r="D438" s="1">
        <v>2.4500000480000002</v>
      </c>
      <c r="E438" s="1">
        <v>2.4500000480000002</v>
      </c>
      <c r="F438" s="1">
        <v>0</v>
      </c>
      <c r="G438" s="1">
        <v>0</v>
      </c>
      <c r="H438" s="1">
        <v>0.219999999</v>
      </c>
      <c r="I438" s="1">
        <v>2.2300000190000002</v>
      </c>
      <c r="J438" s="1">
        <v>0</v>
      </c>
      <c r="K438" s="1">
        <v>0</v>
      </c>
      <c r="L438" s="1">
        <v>9</v>
      </c>
      <c r="M438" s="1">
        <v>161</v>
      </c>
      <c r="N438" s="1">
        <v>675</v>
      </c>
      <c r="O438" s="1">
        <v>2229</v>
      </c>
      <c r="P438" s="1" t="s">
        <v>17</v>
      </c>
      <c r="Q438" t="str">
        <f>TEXT(dailyActivity_merged[[#This Row],[ActivityDate]],"dddd")</f>
        <v>Monday</v>
      </c>
    </row>
    <row r="439" spans="1:17" x14ac:dyDescent="0.35">
      <c r="A439" s="1">
        <v>8792009665</v>
      </c>
      <c r="B439" s="2">
        <v>42465</v>
      </c>
      <c r="C439" s="1">
        <v>2332</v>
      </c>
      <c r="D439" s="1">
        <v>1.4900000099999999</v>
      </c>
      <c r="E439" s="1">
        <v>1.4900000099999999</v>
      </c>
      <c r="F439" s="1">
        <v>0</v>
      </c>
      <c r="G439" s="1">
        <v>0.01</v>
      </c>
      <c r="H439" s="1">
        <v>0.18000000699999999</v>
      </c>
      <c r="I439" s="1">
        <v>1.2999999520000001</v>
      </c>
      <c r="J439" s="1">
        <v>0</v>
      </c>
      <c r="K439" s="1">
        <v>1</v>
      </c>
      <c r="L439" s="1">
        <v>10</v>
      </c>
      <c r="M439" s="1">
        <v>111</v>
      </c>
      <c r="N439" s="1">
        <v>904</v>
      </c>
      <c r="O439" s="1">
        <v>2100</v>
      </c>
      <c r="P439" s="1" t="s">
        <v>17</v>
      </c>
      <c r="Q439" t="str">
        <f>TEXT(dailyActivity_merged[[#This Row],[ActivityDate]],"dddd")</f>
        <v>Tuesday</v>
      </c>
    </row>
    <row r="440" spans="1:17" x14ac:dyDescent="0.35">
      <c r="A440" s="1">
        <v>8792009665</v>
      </c>
      <c r="B440" s="2">
        <v>42466</v>
      </c>
      <c r="C440" s="1">
        <v>2121</v>
      </c>
      <c r="D440" s="1">
        <v>1.3600000139999999</v>
      </c>
      <c r="E440" s="1">
        <v>1.3600000139999999</v>
      </c>
      <c r="F440" s="1">
        <v>0</v>
      </c>
      <c r="G440" s="1">
        <v>0</v>
      </c>
      <c r="H440" s="1">
        <v>0</v>
      </c>
      <c r="I440" s="1">
        <v>1.3600000139999999</v>
      </c>
      <c r="J440" s="1">
        <v>0</v>
      </c>
      <c r="K440" s="1">
        <v>0</v>
      </c>
      <c r="L440" s="1">
        <v>0</v>
      </c>
      <c r="M440" s="1">
        <v>122</v>
      </c>
      <c r="N440" s="1">
        <v>855</v>
      </c>
      <c r="O440" s="1">
        <v>2114</v>
      </c>
      <c r="P440" s="1" t="s">
        <v>17</v>
      </c>
      <c r="Q440" t="str">
        <f>TEXT(dailyActivity_merged[[#This Row],[ActivityDate]],"dddd")</f>
        <v>Wednesday</v>
      </c>
    </row>
    <row r="441" spans="1:17" x14ac:dyDescent="0.35">
      <c r="A441" s="1">
        <v>8792009665</v>
      </c>
      <c r="B441" s="2">
        <v>42467</v>
      </c>
      <c r="C441" s="1">
        <v>1291</v>
      </c>
      <c r="D441" s="1">
        <v>0.829999983</v>
      </c>
      <c r="E441" s="1">
        <v>0.829999983</v>
      </c>
      <c r="F441" s="1">
        <v>0</v>
      </c>
      <c r="G441" s="1">
        <v>0</v>
      </c>
      <c r="H441" s="1">
        <v>0</v>
      </c>
      <c r="I441" s="1">
        <v>0.829999983</v>
      </c>
      <c r="J441" s="1">
        <v>0</v>
      </c>
      <c r="K441" s="1">
        <v>0</v>
      </c>
      <c r="L441" s="1">
        <v>0</v>
      </c>
      <c r="M441" s="1">
        <v>77</v>
      </c>
      <c r="N441" s="1">
        <v>888</v>
      </c>
      <c r="O441" s="1">
        <v>1961</v>
      </c>
      <c r="P441" s="1" t="s">
        <v>17</v>
      </c>
      <c r="Q441" t="str">
        <f>TEXT(dailyActivity_merged[[#This Row],[ActivityDate]],"dddd")</f>
        <v>Thursday</v>
      </c>
    </row>
    <row r="442" spans="1:17" x14ac:dyDescent="0.35">
      <c r="A442" s="1">
        <v>8792009665</v>
      </c>
      <c r="B442" s="2">
        <v>42468</v>
      </c>
      <c r="C442" s="1">
        <v>1467</v>
      </c>
      <c r="D442" s="1">
        <v>0.939999998</v>
      </c>
      <c r="E442" s="1">
        <v>0.939999998</v>
      </c>
      <c r="F442" s="1">
        <v>0</v>
      </c>
      <c r="G442" s="1">
        <v>0.10000000100000001</v>
      </c>
      <c r="H442" s="1">
        <v>0.209999993</v>
      </c>
      <c r="I442" s="1">
        <v>0.62999999500000003</v>
      </c>
      <c r="J442" s="1">
        <v>0</v>
      </c>
      <c r="K442" s="1">
        <v>2</v>
      </c>
      <c r="L442" s="1">
        <v>8</v>
      </c>
      <c r="M442" s="1">
        <v>71</v>
      </c>
      <c r="N442" s="1">
        <v>912</v>
      </c>
      <c r="O442" s="1">
        <v>1953</v>
      </c>
      <c r="P442" s="1" t="s">
        <v>17</v>
      </c>
      <c r="Q442" t="str">
        <f>TEXT(dailyActivity_merged[[#This Row],[ActivityDate]],"dddd")</f>
        <v>Friday</v>
      </c>
    </row>
    <row r="443" spans="1:17" x14ac:dyDescent="0.35">
      <c r="A443" s="1">
        <v>8792009665</v>
      </c>
      <c r="B443" s="2">
        <v>42469</v>
      </c>
      <c r="C443" s="1">
        <v>1022</v>
      </c>
      <c r="D443" s="1">
        <v>0.64999997600000003</v>
      </c>
      <c r="E443" s="1">
        <v>0.64999997600000003</v>
      </c>
      <c r="F443" s="1">
        <v>0</v>
      </c>
      <c r="G443" s="1">
        <v>0</v>
      </c>
      <c r="H443" s="1">
        <v>0</v>
      </c>
      <c r="I443" s="1">
        <v>0.64999997600000003</v>
      </c>
      <c r="J443" s="1">
        <v>0</v>
      </c>
      <c r="K443" s="1">
        <v>0</v>
      </c>
      <c r="L443" s="1">
        <v>0</v>
      </c>
      <c r="M443" s="1">
        <v>63</v>
      </c>
      <c r="N443" s="1">
        <v>739</v>
      </c>
      <c r="O443" s="1">
        <v>1890</v>
      </c>
      <c r="P443" s="1" t="s">
        <v>17</v>
      </c>
      <c r="Q443" t="str">
        <f>TEXT(dailyActivity_merged[[#This Row],[ActivityDate]],"dddd")</f>
        <v>Saturday</v>
      </c>
    </row>
    <row r="444" spans="1:17" x14ac:dyDescent="0.35">
      <c r="A444" s="1">
        <v>8792009665</v>
      </c>
      <c r="B444" s="2">
        <v>42470</v>
      </c>
      <c r="C444" s="1">
        <v>4605</v>
      </c>
      <c r="D444" s="1">
        <v>2.9500000480000002</v>
      </c>
      <c r="E444" s="1">
        <v>2.9500000480000002</v>
      </c>
      <c r="F444" s="1">
        <v>0</v>
      </c>
      <c r="G444" s="1">
        <v>0</v>
      </c>
      <c r="H444" s="1">
        <v>0</v>
      </c>
      <c r="I444" s="1">
        <v>2.9500000480000002</v>
      </c>
      <c r="J444" s="1">
        <v>0</v>
      </c>
      <c r="K444" s="1">
        <v>0</v>
      </c>
      <c r="L444" s="1">
        <v>0</v>
      </c>
      <c r="M444" s="1">
        <v>179</v>
      </c>
      <c r="N444" s="1">
        <v>1261</v>
      </c>
      <c r="O444" s="1">
        <v>2253</v>
      </c>
      <c r="P444" s="1" t="s">
        <v>17</v>
      </c>
      <c r="Q444" t="str">
        <f>TEXT(dailyActivity_merged[[#This Row],[ActivityDate]],"dddd")</f>
        <v>Sunday</v>
      </c>
    </row>
    <row r="445" spans="1:17" x14ac:dyDescent="0.35">
      <c r="A445" s="1">
        <v>8792009665</v>
      </c>
      <c r="B445" s="2">
        <v>42471</v>
      </c>
      <c r="C445" s="1">
        <v>178</v>
      </c>
      <c r="D445" s="1">
        <v>0.109999999</v>
      </c>
      <c r="E445" s="1">
        <v>0.109999999</v>
      </c>
      <c r="F445" s="1">
        <v>0</v>
      </c>
      <c r="G445" s="1">
        <v>0</v>
      </c>
      <c r="H445" s="1">
        <v>0</v>
      </c>
      <c r="I445" s="1">
        <v>0.109999999</v>
      </c>
      <c r="J445" s="1">
        <v>0</v>
      </c>
      <c r="K445" s="1">
        <v>0</v>
      </c>
      <c r="L445" s="1">
        <v>0</v>
      </c>
      <c r="M445" s="1">
        <v>12</v>
      </c>
      <c r="N445" s="1">
        <v>1428</v>
      </c>
      <c r="O445" s="1">
        <v>1725</v>
      </c>
      <c r="P445" s="1" t="s">
        <v>17</v>
      </c>
      <c r="Q445" t="str">
        <f>TEXT(dailyActivity_merged[[#This Row],[ActivityDate]],"dddd")</f>
        <v>Monday</v>
      </c>
    </row>
    <row r="446" spans="1:17" x14ac:dyDescent="0.35">
      <c r="A446" s="1">
        <v>8792009665</v>
      </c>
      <c r="B446" s="2">
        <v>42472</v>
      </c>
      <c r="C446" s="1">
        <v>20</v>
      </c>
      <c r="D446" s="1">
        <v>0.01</v>
      </c>
      <c r="E446" s="1">
        <v>0.01</v>
      </c>
      <c r="F446" s="1">
        <v>0</v>
      </c>
      <c r="G446" s="1">
        <v>0</v>
      </c>
      <c r="H446" s="1">
        <v>0</v>
      </c>
      <c r="I446" s="1">
        <v>0.01</v>
      </c>
      <c r="J446" s="1">
        <v>0</v>
      </c>
      <c r="K446" s="1">
        <v>0</v>
      </c>
      <c r="L446" s="1">
        <v>0</v>
      </c>
      <c r="M446" s="1">
        <v>6</v>
      </c>
      <c r="N446" s="1">
        <v>598</v>
      </c>
      <c r="O446" s="1">
        <v>728</v>
      </c>
      <c r="P446" s="1" t="s">
        <v>17</v>
      </c>
      <c r="Q446" t="str">
        <f>TEXT(dailyActivity_merged[[#This Row],[ActivityDate]],"dddd")</f>
        <v>Tuesday</v>
      </c>
    </row>
    <row r="447" spans="1:17" x14ac:dyDescent="0.35">
      <c r="A447" s="1">
        <v>8877689391</v>
      </c>
      <c r="B447" s="2">
        <v>42461</v>
      </c>
      <c r="C447" s="1">
        <v>18700</v>
      </c>
      <c r="D447" s="1">
        <v>15.81999969</v>
      </c>
      <c r="E447" s="1">
        <v>15.81999969</v>
      </c>
      <c r="F447" s="1">
        <v>0</v>
      </c>
      <c r="G447" s="1">
        <v>8.6999998089999995</v>
      </c>
      <c r="H447" s="1">
        <v>0.15999999600000001</v>
      </c>
      <c r="I447" s="1">
        <v>6.9099998469999999</v>
      </c>
      <c r="J447" s="1">
        <v>0</v>
      </c>
      <c r="K447" s="1">
        <v>67</v>
      </c>
      <c r="L447" s="1">
        <v>3</v>
      </c>
      <c r="M447" s="1">
        <v>247</v>
      </c>
      <c r="N447" s="1">
        <v>1123</v>
      </c>
      <c r="O447" s="1">
        <v>3527</v>
      </c>
      <c r="P447" s="1" t="s">
        <v>16</v>
      </c>
      <c r="Q447" t="str">
        <f>TEXT(dailyActivity_merged[[#This Row],[ActivityDate]],"dddd")</f>
        <v>Friday</v>
      </c>
    </row>
    <row r="448" spans="1:17" x14ac:dyDescent="0.35">
      <c r="A448" s="1">
        <v>8877689391</v>
      </c>
      <c r="B448" s="2">
        <v>42462</v>
      </c>
      <c r="C448" s="1">
        <v>27572</v>
      </c>
      <c r="D448" s="1">
        <v>23.38999939</v>
      </c>
      <c r="E448" s="1">
        <v>23.38999939</v>
      </c>
      <c r="F448" s="1">
        <v>0</v>
      </c>
      <c r="G448" s="1">
        <v>14.72000027</v>
      </c>
      <c r="H448" s="1">
        <v>1.210000038</v>
      </c>
      <c r="I448" s="1">
        <v>7.3400001530000001</v>
      </c>
      <c r="J448" s="1">
        <v>0.01</v>
      </c>
      <c r="K448" s="1">
        <v>116</v>
      </c>
      <c r="L448" s="1">
        <v>24</v>
      </c>
      <c r="M448" s="1">
        <v>260</v>
      </c>
      <c r="N448" s="1">
        <v>1040</v>
      </c>
      <c r="O448" s="1">
        <v>4220</v>
      </c>
      <c r="P448" s="1" t="s">
        <v>16</v>
      </c>
      <c r="Q448" t="str">
        <f>TEXT(dailyActivity_merged[[#This Row],[ActivityDate]],"dddd")</f>
        <v>Saturday</v>
      </c>
    </row>
    <row r="449" spans="1:17" x14ac:dyDescent="0.35">
      <c r="A449" s="1">
        <v>8877689391</v>
      </c>
      <c r="B449" s="2">
        <v>42463</v>
      </c>
      <c r="C449" s="1">
        <v>15260</v>
      </c>
      <c r="D449" s="1">
        <v>8.1899995800000003</v>
      </c>
      <c r="E449" s="1">
        <v>8.1899995800000003</v>
      </c>
      <c r="F449" s="1">
        <v>0</v>
      </c>
      <c r="G449" s="1">
        <v>1.7999999520000001</v>
      </c>
      <c r="H449" s="1">
        <v>0.75</v>
      </c>
      <c r="I449" s="1">
        <v>5.5700001720000003</v>
      </c>
      <c r="J449" s="1">
        <v>0</v>
      </c>
      <c r="K449" s="1">
        <v>106</v>
      </c>
      <c r="L449" s="1">
        <v>17</v>
      </c>
      <c r="M449" s="1">
        <v>259</v>
      </c>
      <c r="N449" s="1">
        <v>1058</v>
      </c>
      <c r="O449" s="1">
        <v>3864</v>
      </c>
      <c r="P449" s="1" t="s">
        <v>16</v>
      </c>
      <c r="Q449" t="str">
        <f>TEXT(dailyActivity_merged[[#This Row],[ActivityDate]],"dddd")</f>
        <v>Sunday</v>
      </c>
    </row>
    <row r="450" spans="1:17" x14ac:dyDescent="0.35">
      <c r="A450" s="1">
        <v>8877689391</v>
      </c>
      <c r="B450" s="2">
        <v>42464</v>
      </c>
      <c r="C450" s="1">
        <v>20779</v>
      </c>
      <c r="D450" s="1">
        <v>18.409999849999998</v>
      </c>
      <c r="E450" s="1">
        <v>18.409999849999998</v>
      </c>
      <c r="F450" s="1">
        <v>0</v>
      </c>
      <c r="G450" s="1">
        <v>11.72999954</v>
      </c>
      <c r="H450" s="1">
        <v>0.64999997600000003</v>
      </c>
      <c r="I450" s="1">
        <v>6</v>
      </c>
      <c r="J450" s="1">
        <v>0</v>
      </c>
      <c r="K450" s="1">
        <v>78</v>
      </c>
      <c r="L450" s="1">
        <v>16</v>
      </c>
      <c r="M450" s="1">
        <v>208</v>
      </c>
      <c r="N450" s="1">
        <v>1138</v>
      </c>
      <c r="O450" s="1">
        <v>3662</v>
      </c>
      <c r="P450" s="1" t="s">
        <v>16</v>
      </c>
      <c r="Q450" t="str">
        <f>TEXT(dailyActivity_merged[[#This Row],[ActivityDate]],"dddd")</f>
        <v>Monday</v>
      </c>
    </row>
    <row r="451" spans="1:17" x14ac:dyDescent="0.35">
      <c r="A451" s="1">
        <v>8877689391</v>
      </c>
      <c r="B451" s="2">
        <v>42465</v>
      </c>
      <c r="C451" s="1">
        <v>10695</v>
      </c>
      <c r="D451" s="1">
        <v>8.1199998860000004</v>
      </c>
      <c r="E451" s="1">
        <v>8.1199998860000004</v>
      </c>
      <c r="F451" s="1">
        <v>0</v>
      </c>
      <c r="G451" s="1">
        <v>0.769999981</v>
      </c>
      <c r="H451" s="1">
        <v>0.18000000699999999</v>
      </c>
      <c r="I451" s="1">
        <v>7.0900001530000001</v>
      </c>
      <c r="J451" s="1">
        <v>0.01</v>
      </c>
      <c r="K451" s="1">
        <v>10</v>
      </c>
      <c r="L451" s="1">
        <v>3</v>
      </c>
      <c r="M451" s="1">
        <v>246</v>
      </c>
      <c r="N451" s="1">
        <v>1181</v>
      </c>
      <c r="O451" s="1">
        <v>2834</v>
      </c>
      <c r="P451" s="1" t="s">
        <v>16</v>
      </c>
      <c r="Q451" t="str">
        <f>TEXT(dailyActivity_merged[[#This Row],[ActivityDate]],"dddd")</f>
        <v>Tuesday</v>
      </c>
    </row>
    <row r="452" spans="1:17" x14ac:dyDescent="0.35">
      <c r="A452" s="1">
        <v>8877689391</v>
      </c>
      <c r="B452" s="2">
        <v>42466</v>
      </c>
      <c r="C452" s="1">
        <v>24136</v>
      </c>
      <c r="D452" s="1">
        <v>20.909999849999998</v>
      </c>
      <c r="E452" s="1">
        <v>20.909999849999998</v>
      </c>
      <c r="F452" s="1">
        <v>0</v>
      </c>
      <c r="G452" s="1">
        <v>12.22000027</v>
      </c>
      <c r="H452" s="1">
        <v>0.540000021</v>
      </c>
      <c r="I452" s="1">
        <v>8.0799999239999991</v>
      </c>
      <c r="J452" s="1">
        <v>0</v>
      </c>
      <c r="K452" s="1">
        <v>87</v>
      </c>
      <c r="L452" s="1">
        <v>16</v>
      </c>
      <c r="M452" s="1">
        <v>318</v>
      </c>
      <c r="N452" s="1">
        <v>1019</v>
      </c>
      <c r="O452" s="1">
        <v>4039</v>
      </c>
      <c r="P452" s="1" t="s">
        <v>16</v>
      </c>
      <c r="Q452" t="str">
        <f>TEXT(dailyActivity_merged[[#This Row],[ActivityDate]],"dddd")</f>
        <v>Wednesday</v>
      </c>
    </row>
    <row r="453" spans="1:17" x14ac:dyDescent="0.35">
      <c r="A453" s="1">
        <v>8877689391</v>
      </c>
      <c r="B453" s="2">
        <v>42467</v>
      </c>
      <c r="C453" s="1">
        <v>10910</v>
      </c>
      <c r="D453" s="1">
        <v>8.4200000760000009</v>
      </c>
      <c r="E453" s="1">
        <v>8.4200000760000009</v>
      </c>
      <c r="F453" s="1">
        <v>0</v>
      </c>
      <c r="G453" s="1">
        <v>2.960000038</v>
      </c>
      <c r="H453" s="1">
        <v>0.38999998600000002</v>
      </c>
      <c r="I453" s="1">
        <v>5.0300002099999999</v>
      </c>
      <c r="J453" s="1">
        <v>0</v>
      </c>
      <c r="K453" s="1">
        <v>32</v>
      </c>
      <c r="L453" s="1">
        <v>11</v>
      </c>
      <c r="M453" s="1">
        <v>212</v>
      </c>
      <c r="N453" s="1">
        <v>1185</v>
      </c>
      <c r="O453" s="1">
        <v>2947</v>
      </c>
      <c r="P453" s="1" t="s">
        <v>16</v>
      </c>
      <c r="Q453" t="str">
        <f>TEXT(dailyActivity_merged[[#This Row],[ActivityDate]],"dddd")</f>
        <v>Thursday</v>
      </c>
    </row>
    <row r="454" spans="1:17" x14ac:dyDescent="0.35">
      <c r="A454" s="1">
        <v>8877689391</v>
      </c>
      <c r="B454" s="2">
        <v>42468</v>
      </c>
      <c r="C454" s="1">
        <v>23014</v>
      </c>
      <c r="D454" s="1">
        <v>20.38999939</v>
      </c>
      <c r="E454" s="1">
        <v>20.38999939</v>
      </c>
      <c r="F454" s="1">
        <v>0</v>
      </c>
      <c r="G454" s="1">
        <v>11.100000380000001</v>
      </c>
      <c r="H454" s="1">
        <v>0.62999999500000003</v>
      </c>
      <c r="I454" s="1">
        <v>8.6199998860000004</v>
      </c>
      <c r="J454" s="1">
        <v>0</v>
      </c>
      <c r="K454" s="1">
        <v>70</v>
      </c>
      <c r="L454" s="1">
        <v>29</v>
      </c>
      <c r="M454" s="1">
        <v>359</v>
      </c>
      <c r="N454" s="1">
        <v>982</v>
      </c>
      <c r="O454" s="1">
        <v>4196</v>
      </c>
      <c r="P454" s="1" t="s">
        <v>16</v>
      </c>
      <c r="Q454" t="str">
        <f>TEXT(dailyActivity_merged[[#This Row],[ActivityDate]],"dddd")</f>
        <v>Friday</v>
      </c>
    </row>
    <row r="455" spans="1:17" x14ac:dyDescent="0.35">
      <c r="A455" s="1">
        <v>8877689391</v>
      </c>
      <c r="B455" s="2">
        <v>42469</v>
      </c>
      <c r="C455" s="1">
        <v>16470</v>
      </c>
      <c r="D455" s="1">
        <v>8.0699996949999999</v>
      </c>
      <c r="E455" s="1">
        <v>8.0699996949999999</v>
      </c>
      <c r="F455" s="1">
        <v>0</v>
      </c>
      <c r="G455" s="1">
        <v>0</v>
      </c>
      <c r="H455" s="1">
        <v>0.02</v>
      </c>
      <c r="I455" s="1">
        <v>8.0200004580000002</v>
      </c>
      <c r="J455" s="1">
        <v>0</v>
      </c>
      <c r="K455" s="1">
        <v>90</v>
      </c>
      <c r="L455" s="1">
        <v>9</v>
      </c>
      <c r="M455" s="1">
        <v>289</v>
      </c>
      <c r="N455" s="1">
        <v>1052</v>
      </c>
      <c r="O455" s="1">
        <v>3841</v>
      </c>
      <c r="P455" s="1" t="s">
        <v>16</v>
      </c>
      <c r="Q455" t="str">
        <f>TEXT(dailyActivity_merged[[#This Row],[ActivityDate]],"dddd")</f>
        <v>Saturday</v>
      </c>
    </row>
    <row r="456" spans="1:17" x14ac:dyDescent="0.35">
      <c r="A456" s="1">
        <v>8877689391</v>
      </c>
      <c r="B456" s="2">
        <v>42470</v>
      </c>
      <c r="C456" s="1">
        <v>28497</v>
      </c>
      <c r="D456" s="1">
        <v>27.530000690000001</v>
      </c>
      <c r="E456" s="1">
        <v>27.530000690000001</v>
      </c>
      <c r="F456" s="1">
        <v>0</v>
      </c>
      <c r="G456" s="1">
        <v>21.920000080000001</v>
      </c>
      <c r="H456" s="1">
        <v>1.1200000050000001</v>
      </c>
      <c r="I456" s="1">
        <v>4.4600000380000004</v>
      </c>
      <c r="J456" s="1">
        <v>0</v>
      </c>
      <c r="K456" s="1">
        <v>128</v>
      </c>
      <c r="L456" s="1">
        <v>46</v>
      </c>
      <c r="M456" s="1">
        <v>211</v>
      </c>
      <c r="N456" s="1">
        <v>1055</v>
      </c>
      <c r="O456" s="1">
        <v>4526</v>
      </c>
      <c r="P456" s="1" t="s">
        <v>16</v>
      </c>
      <c r="Q456" t="str">
        <f>TEXT(dailyActivity_merged[[#This Row],[ActivityDate]],"dddd")</f>
        <v>Sunday</v>
      </c>
    </row>
    <row r="457" spans="1:17" x14ac:dyDescent="0.35">
      <c r="A457" s="1">
        <v>8877689391</v>
      </c>
      <c r="B457" s="2">
        <v>42471</v>
      </c>
      <c r="C457" s="1">
        <v>10622</v>
      </c>
      <c r="D457" s="1">
        <v>8.0600004199999997</v>
      </c>
      <c r="E457" s="1">
        <v>8.0600004199999997</v>
      </c>
      <c r="F457" s="1">
        <v>0</v>
      </c>
      <c r="G457" s="1">
        <v>1.4700000289999999</v>
      </c>
      <c r="H457" s="1">
        <v>0.15000000599999999</v>
      </c>
      <c r="I457" s="1">
        <v>6.3699998860000004</v>
      </c>
      <c r="J457" s="1">
        <v>0.01</v>
      </c>
      <c r="K457" s="1">
        <v>18</v>
      </c>
      <c r="L457" s="1">
        <v>7</v>
      </c>
      <c r="M457" s="1">
        <v>225</v>
      </c>
      <c r="N457" s="1">
        <v>1190</v>
      </c>
      <c r="O457" s="1">
        <v>2820</v>
      </c>
      <c r="P457" s="1" t="s">
        <v>16</v>
      </c>
      <c r="Q457" t="str">
        <f>TEXT(dailyActivity_merged[[#This Row],[ActivityDate]],"dddd")</f>
        <v>Monday</v>
      </c>
    </row>
    <row r="458" spans="1:17" x14ac:dyDescent="0.35">
      <c r="A458" s="1">
        <v>8877689391</v>
      </c>
      <c r="B458" s="2">
        <v>42472</v>
      </c>
      <c r="C458" s="1">
        <v>2350</v>
      </c>
      <c r="D458" s="1">
        <v>1.7799999710000001</v>
      </c>
      <c r="E458" s="1">
        <v>1.7799999710000001</v>
      </c>
      <c r="F458" s="1">
        <v>0</v>
      </c>
      <c r="G458" s="1">
        <v>0</v>
      </c>
      <c r="H458" s="1">
        <v>0</v>
      </c>
      <c r="I458" s="1">
        <v>1.7799999710000001</v>
      </c>
      <c r="J458" s="1">
        <v>0</v>
      </c>
      <c r="K458" s="1">
        <v>0</v>
      </c>
      <c r="L458" s="1">
        <v>0</v>
      </c>
      <c r="M458" s="1">
        <v>58</v>
      </c>
      <c r="N458" s="1">
        <v>531</v>
      </c>
      <c r="O458" s="1">
        <v>938</v>
      </c>
      <c r="P458" s="1" t="s">
        <v>17</v>
      </c>
      <c r="Q458" t="str">
        <f>TEXT(dailyActivity_merged[[#This Row],[ActivityDate]],"dddd")</f>
        <v>Tuesday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"/>
  <sheetViews>
    <sheetView workbookViewId="0">
      <selection activeCell="C22" sqref="C22"/>
    </sheetView>
  </sheetViews>
  <sheetFormatPr defaultRowHeight="14.5" x14ac:dyDescent="0.35"/>
  <cols>
    <col min="1" max="1" width="10.81640625" bestFit="1" customWidth="1"/>
    <col min="2" max="2" width="10.7265625" bestFit="1" customWidth="1"/>
    <col min="3" max="3" width="18.54296875" bestFit="1" customWidth="1"/>
    <col min="4" max="4" width="20" bestFit="1" customWidth="1"/>
    <col min="5" max="5" width="16.36328125" bestFit="1" customWidth="1"/>
    <col min="6" max="6" width="9.453125" bestFit="1" customWidth="1"/>
  </cols>
  <sheetData>
    <row r="1" spans="1:6" x14ac:dyDescent="0.3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35">
      <c r="A2" s="1">
        <v>1503960366</v>
      </c>
      <c r="B2" s="2">
        <v>42472</v>
      </c>
      <c r="C2" s="1">
        <v>1</v>
      </c>
      <c r="D2" s="1">
        <v>327</v>
      </c>
      <c r="E2" s="1">
        <v>346</v>
      </c>
      <c r="F2" s="2">
        <v>42472</v>
      </c>
    </row>
    <row r="3" spans="1:6" x14ac:dyDescent="0.35">
      <c r="A3" s="1">
        <v>1503960366</v>
      </c>
      <c r="B3" s="2">
        <v>42473</v>
      </c>
      <c r="C3" s="1">
        <v>2</v>
      </c>
      <c r="D3" s="1">
        <v>384</v>
      </c>
      <c r="E3" s="1">
        <v>407</v>
      </c>
      <c r="F3" s="2">
        <v>42473</v>
      </c>
    </row>
    <row r="4" spans="1:6" x14ac:dyDescent="0.35">
      <c r="A4" s="1">
        <v>1503960366</v>
      </c>
      <c r="B4" s="2">
        <v>42475</v>
      </c>
      <c r="C4" s="1">
        <v>1</v>
      </c>
      <c r="D4" s="1">
        <v>412</v>
      </c>
      <c r="E4" s="1">
        <v>442</v>
      </c>
      <c r="F4" s="2">
        <v>42475</v>
      </c>
    </row>
    <row r="5" spans="1:6" x14ac:dyDescent="0.35">
      <c r="A5" s="1">
        <v>1503960366</v>
      </c>
      <c r="B5" s="2">
        <v>42476</v>
      </c>
      <c r="C5" s="1">
        <v>2</v>
      </c>
      <c r="D5" s="1">
        <v>340</v>
      </c>
      <c r="E5" s="1">
        <v>367</v>
      </c>
      <c r="F5" s="2">
        <v>42476</v>
      </c>
    </row>
    <row r="6" spans="1:6" x14ac:dyDescent="0.35">
      <c r="A6" s="1">
        <v>1503960366</v>
      </c>
      <c r="B6" s="2">
        <v>42477</v>
      </c>
      <c r="C6" s="1">
        <v>1</v>
      </c>
      <c r="D6" s="1">
        <v>700</v>
      </c>
      <c r="E6" s="1">
        <v>712</v>
      </c>
      <c r="F6" s="2">
        <v>42477</v>
      </c>
    </row>
    <row r="7" spans="1:6" x14ac:dyDescent="0.35">
      <c r="A7" s="1">
        <v>1503960366</v>
      </c>
      <c r="B7" s="2">
        <v>42479</v>
      </c>
      <c r="C7" s="1">
        <v>1</v>
      </c>
      <c r="D7" s="1">
        <v>304</v>
      </c>
      <c r="E7" s="1">
        <v>320</v>
      </c>
      <c r="F7" s="2">
        <v>42479</v>
      </c>
    </row>
    <row r="8" spans="1:6" x14ac:dyDescent="0.35">
      <c r="A8" s="1">
        <v>1503960366</v>
      </c>
      <c r="B8" s="2">
        <v>42480</v>
      </c>
      <c r="C8" s="1">
        <v>1</v>
      </c>
      <c r="D8" s="1">
        <v>360</v>
      </c>
      <c r="E8" s="1">
        <v>377</v>
      </c>
      <c r="F8" s="2">
        <v>42480</v>
      </c>
    </row>
    <row r="9" spans="1:6" x14ac:dyDescent="0.35">
      <c r="A9" s="1">
        <v>1503960366</v>
      </c>
      <c r="B9" s="2">
        <v>42481</v>
      </c>
      <c r="C9" s="1">
        <v>1</v>
      </c>
      <c r="D9" s="1">
        <v>325</v>
      </c>
      <c r="E9" s="1">
        <v>364</v>
      </c>
      <c r="F9" s="2">
        <v>42481</v>
      </c>
    </row>
    <row r="10" spans="1:6" x14ac:dyDescent="0.35">
      <c r="A10" s="1">
        <v>1503960366</v>
      </c>
      <c r="B10" s="2">
        <v>42483</v>
      </c>
      <c r="C10" s="1">
        <v>1</v>
      </c>
      <c r="D10" s="1">
        <v>361</v>
      </c>
      <c r="E10" s="1">
        <v>384</v>
      </c>
      <c r="F10" s="2">
        <v>42483</v>
      </c>
    </row>
    <row r="11" spans="1:6" x14ac:dyDescent="0.35">
      <c r="A11" s="1">
        <v>1503960366</v>
      </c>
      <c r="B11" s="2">
        <v>42484</v>
      </c>
      <c r="C11" s="1">
        <v>1</v>
      </c>
      <c r="D11" s="1">
        <v>430</v>
      </c>
      <c r="E11" s="1">
        <v>449</v>
      </c>
      <c r="F11" s="2">
        <v>42484</v>
      </c>
    </row>
    <row r="12" spans="1:6" x14ac:dyDescent="0.35">
      <c r="A12" s="1">
        <v>1503960366</v>
      </c>
      <c r="B12" s="2">
        <v>42485</v>
      </c>
      <c r="C12" s="1">
        <v>1</v>
      </c>
      <c r="D12" s="1">
        <v>277</v>
      </c>
      <c r="E12" s="1">
        <v>323</v>
      </c>
      <c r="F12" s="2">
        <v>42485</v>
      </c>
    </row>
    <row r="13" spans="1:6" x14ac:dyDescent="0.35">
      <c r="A13" s="1">
        <v>1503960366</v>
      </c>
      <c r="B13" s="2">
        <v>42486</v>
      </c>
      <c r="C13" s="1">
        <v>1</v>
      </c>
      <c r="D13" s="1">
        <v>245</v>
      </c>
      <c r="E13" s="1">
        <v>274</v>
      </c>
      <c r="F13" s="2">
        <v>42486</v>
      </c>
    </row>
    <row r="14" spans="1:6" x14ac:dyDescent="0.35">
      <c r="A14" s="1">
        <v>1503960366</v>
      </c>
      <c r="B14" s="2">
        <v>42488</v>
      </c>
      <c r="C14" s="1">
        <v>1</v>
      </c>
      <c r="D14" s="1">
        <v>366</v>
      </c>
      <c r="E14" s="1">
        <v>393</v>
      </c>
      <c r="F14" s="2">
        <v>42488</v>
      </c>
    </row>
    <row r="15" spans="1:6" x14ac:dyDescent="0.35">
      <c r="A15" s="1">
        <v>1503960366</v>
      </c>
      <c r="B15" s="2">
        <v>42489</v>
      </c>
      <c r="C15" s="1">
        <v>1</v>
      </c>
      <c r="D15" s="1">
        <v>341</v>
      </c>
      <c r="E15" s="1">
        <v>354</v>
      </c>
      <c r="F15" s="2">
        <v>42489</v>
      </c>
    </row>
    <row r="16" spans="1:6" x14ac:dyDescent="0.35">
      <c r="A16" s="1">
        <v>1503960366</v>
      </c>
      <c r="B16" s="2">
        <v>42490</v>
      </c>
      <c r="C16" s="1">
        <v>1</v>
      </c>
      <c r="D16" s="1">
        <v>404</v>
      </c>
      <c r="E16" s="1">
        <v>425</v>
      </c>
      <c r="F16" s="2">
        <v>42490</v>
      </c>
    </row>
    <row r="17" spans="1:6" x14ac:dyDescent="0.35">
      <c r="A17" s="1">
        <v>1503960366</v>
      </c>
      <c r="B17" s="2">
        <v>42491</v>
      </c>
      <c r="C17" s="1">
        <v>1</v>
      </c>
      <c r="D17" s="1">
        <v>369</v>
      </c>
      <c r="E17" s="1">
        <v>396</v>
      </c>
      <c r="F17" s="2">
        <v>42491</v>
      </c>
    </row>
    <row r="18" spans="1:6" x14ac:dyDescent="0.35">
      <c r="A18" s="1">
        <v>1503960366</v>
      </c>
      <c r="B18" s="2">
        <v>42492</v>
      </c>
      <c r="C18" s="1">
        <v>1</v>
      </c>
      <c r="D18" s="1">
        <v>277</v>
      </c>
      <c r="E18" s="1">
        <v>309</v>
      </c>
      <c r="F18" s="2">
        <v>42492</v>
      </c>
    </row>
    <row r="19" spans="1:6" x14ac:dyDescent="0.35">
      <c r="A19" s="1">
        <v>1503960366</v>
      </c>
      <c r="B19" s="2">
        <v>42493</v>
      </c>
      <c r="C19" s="1">
        <v>1</v>
      </c>
      <c r="D19" s="1">
        <v>273</v>
      </c>
      <c r="E19" s="1">
        <v>296</v>
      </c>
      <c r="F19" s="2">
        <v>42493</v>
      </c>
    </row>
    <row r="20" spans="1:6" x14ac:dyDescent="0.35">
      <c r="A20" s="1">
        <v>1503960366</v>
      </c>
      <c r="B20" s="2">
        <v>42495</v>
      </c>
      <c r="C20" s="1">
        <v>1</v>
      </c>
      <c r="D20" s="1">
        <v>247</v>
      </c>
      <c r="E20" s="1">
        <v>264</v>
      </c>
      <c r="F20" s="2">
        <v>42495</v>
      </c>
    </row>
    <row r="21" spans="1:6" x14ac:dyDescent="0.35">
      <c r="A21" s="1">
        <v>1503960366</v>
      </c>
      <c r="B21" s="2">
        <v>42496</v>
      </c>
      <c r="C21" s="1">
        <v>1</v>
      </c>
      <c r="D21" s="1">
        <v>334</v>
      </c>
      <c r="E21" s="1">
        <v>367</v>
      </c>
      <c r="F21" s="2">
        <v>42496</v>
      </c>
    </row>
    <row r="22" spans="1:6" x14ac:dyDescent="0.35">
      <c r="A22" s="1">
        <v>1503960366</v>
      </c>
      <c r="B22" s="2">
        <v>42497</v>
      </c>
      <c r="C22" s="1">
        <v>1</v>
      </c>
      <c r="D22" s="1">
        <v>331</v>
      </c>
      <c r="E22" s="1">
        <v>349</v>
      </c>
      <c r="F22" s="2">
        <v>42497</v>
      </c>
    </row>
    <row r="23" spans="1:6" x14ac:dyDescent="0.35">
      <c r="A23" s="1">
        <v>1503960366</v>
      </c>
      <c r="B23" s="2">
        <v>42498</v>
      </c>
      <c r="C23" s="1">
        <v>1</v>
      </c>
      <c r="D23" s="1">
        <v>594</v>
      </c>
      <c r="E23" s="1">
        <v>611</v>
      </c>
      <c r="F23" s="2">
        <v>42498</v>
      </c>
    </row>
    <row r="24" spans="1:6" x14ac:dyDescent="0.35">
      <c r="A24" s="1">
        <v>1503960366</v>
      </c>
      <c r="B24" s="2">
        <v>42499</v>
      </c>
      <c r="C24" s="1">
        <v>1</v>
      </c>
      <c r="D24" s="1">
        <v>338</v>
      </c>
      <c r="E24" s="1">
        <v>342</v>
      </c>
      <c r="F24" s="2">
        <v>42499</v>
      </c>
    </row>
    <row r="25" spans="1:6" x14ac:dyDescent="0.35">
      <c r="A25" s="1">
        <v>1503960366</v>
      </c>
      <c r="B25" s="2">
        <v>42500</v>
      </c>
      <c r="C25" s="1">
        <v>1</v>
      </c>
      <c r="D25" s="1">
        <v>383</v>
      </c>
      <c r="E25" s="1">
        <v>403</v>
      </c>
      <c r="F25" s="2">
        <v>42500</v>
      </c>
    </row>
    <row r="26" spans="1:6" x14ac:dyDescent="0.35">
      <c r="A26" s="1">
        <v>1503960366</v>
      </c>
      <c r="B26" s="2">
        <v>42501</v>
      </c>
      <c r="C26" s="1">
        <v>1</v>
      </c>
      <c r="D26" s="1">
        <v>285</v>
      </c>
      <c r="E26" s="1">
        <v>306</v>
      </c>
      <c r="F26" s="2">
        <v>42501</v>
      </c>
    </row>
    <row r="27" spans="1:6" x14ac:dyDescent="0.35">
      <c r="A27" s="1">
        <v>1644430081</v>
      </c>
      <c r="B27" s="2">
        <v>42489</v>
      </c>
      <c r="C27" s="1">
        <v>1</v>
      </c>
      <c r="D27" s="1">
        <v>119</v>
      </c>
      <c r="E27" s="1">
        <v>127</v>
      </c>
      <c r="F27" s="2">
        <v>42489</v>
      </c>
    </row>
    <row r="28" spans="1:6" x14ac:dyDescent="0.35">
      <c r="A28" s="1">
        <v>1644430081</v>
      </c>
      <c r="B28" s="2">
        <v>42490</v>
      </c>
      <c r="C28" s="1">
        <v>1</v>
      </c>
      <c r="D28" s="1">
        <v>124</v>
      </c>
      <c r="E28" s="1">
        <v>142</v>
      </c>
      <c r="F28" s="2">
        <v>42490</v>
      </c>
    </row>
    <row r="29" spans="1:6" x14ac:dyDescent="0.35">
      <c r="A29" s="1">
        <v>1644430081</v>
      </c>
      <c r="B29" s="2">
        <v>42492</v>
      </c>
      <c r="C29" s="1">
        <v>1</v>
      </c>
      <c r="D29" s="1">
        <v>796</v>
      </c>
      <c r="E29" s="1">
        <v>961</v>
      </c>
      <c r="F29" s="2">
        <v>42492</v>
      </c>
    </row>
    <row r="30" spans="1:6" x14ac:dyDescent="0.35">
      <c r="A30" s="1">
        <v>1644430081</v>
      </c>
      <c r="B30" s="2">
        <v>42498</v>
      </c>
      <c r="C30" s="1">
        <v>1</v>
      </c>
      <c r="D30" s="1">
        <v>137</v>
      </c>
      <c r="E30" s="1">
        <v>154</v>
      </c>
      <c r="F30" s="2">
        <v>42498</v>
      </c>
    </row>
    <row r="31" spans="1:6" x14ac:dyDescent="0.35">
      <c r="A31" s="1">
        <v>1844505072</v>
      </c>
      <c r="B31" s="2">
        <v>42475</v>
      </c>
      <c r="C31" s="1">
        <v>1</v>
      </c>
      <c r="D31" s="1">
        <v>644</v>
      </c>
      <c r="E31" s="1">
        <v>961</v>
      </c>
      <c r="F31" s="2">
        <v>42475</v>
      </c>
    </row>
    <row r="32" spans="1:6" x14ac:dyDescent="0.35">
      <c r="A32" s="1">
        <v>1844505072</v>
      </c>
      <c r="B32" s="2">
        <v>42490</v>
      </c>
      <c r="C32" s="1">
        <v>1</v>
      </c>
      <c r="D32" s="1">
        <v>722</v>
      </c>
      <c r="E32" s="1">
        <v>961</v>
      </c>
      <c r="F32" s="2">
        <v>42490</v>
      </c>
    </row>
    <row r="33" spans="1:6" x14ac:dyDescent="0.35">
      <c r="A33" s="1">
        <v>1844505072</v>
      </c>
      <c r="B33" s="2">
        <v>42491</v>
      </c>
      <c r="C33" s="1">
        <v>1</v>
      </c>
      <c r="D33" s="1">
        <v>590</v>
      </c>
      <c r="E33" s="1">
        <v>961</v>
      </c>
      <c r="F33" s="2">
        <v>42491</v>
      </c>
    </row>
    <row r="34" spans="1:6" x14ac:dyDescent="0.35">
      <c r="A34" s="1">
        <v>1927972279</v>
      </c>
      <c r="B34" s="2">
        <v>42472</v>
      </c>
      <c r="C34" s="1">
        <v>3</v>
      </c>
      <c r="D34" s="1">
        <v>750</v>
      </c>
      <c r="E34" s="1">
        <v>775</v>
      </c>
      <c r="F34" s="2">
        <v>42472</v>
      </c>
    </row>
    <row r="35" spans="1:6" x14ac:dyDescent="0.35">
      <c r="A35" s="1">
        <v>1927972279</v>
      </c>
      <c r="B35" s="2">
        <v>42473</v>
      </c>
      <c r="C35" s="1">
        <v>1</v>
      </c>
      <c r="D35" s="1">
        <v>398</v>
      </c>
      <c r="E35" s="1">
        <v>422</v>
      </c>
      <c r="F35" s="2">
        <v>42473</v>
      </c>
    </row>
    <row r="36" spans="1:6" x14ac:dyDescent="0.35">
      <c r="A36" s="1">
        <v>1927972279</v>
      </c>
      <c r="B36" s="2">
        <v>42475</v>
      </c>
      <c r="C36" s="1">
        <v>2</v>
      </c>
      <c r="D36" s="1">
        <v>475</v>
      </c>
      <c r="E36" s="1">
        <v>499</v>
      </c>
      <c r="F36" s="2">
        <v>42475</v>
      </c>
    </row>
    <row r="37" spans="1:6" x14ac:dyDescent="0.35">
      <c r="A37" s="1">
        <v>1927972279</v>
      </c>
      <c r="B37" s="2">
        <v>42486</v>
      </c>
      <c r="C37" s="1">
        <v>1</v>
      </c>
      <c r="D37" s="1">
        <v>296</v>
      </c>
      <c r="E37" s="1">
        <v>315</v>
      </c>
      <c r="F37" s="2">
        <v>42486</v>
      </c>
    </row>
    <row r="38" spans="1:6" x14ac:dyDescent="0.35">
      <c r="A38" s="1">
        <v>1927972279</v>
      </c>
      <c r="B38" s="2">
        <v>42488</v>
      </c>
      <c r="C38" s="1">
        <v>1</v>
      </c>
      <c r="D38" s="1">
        <v>166</v>
      </c>
      <c r="E38" s="1">
        <v>178</v>
      </c>
      <c r="F38" s="2">
        <v>42488</v>
      </c>
    </row>
    <row r="39" spans="1:6" x14ac:dyDescent="0.35">
      <c r="A39" s="1">
        <v>2026352035</v>
      </c>
      <c r="B39" s="2">
        <v>42472</v>
      </c>
      <c r="C39" s="1">
        <v>1</v>
      </c>
      <c r="D39" s="1">
        <v>503</v>
      </c>
      <c r="E39" s="1">
        <v>546</v>
      </c>
      <c r="F39" s="2">
        <v>42472</v>
      </c>
    </row>
    <row r="40" spans="1:6" x14ac:dyDescent="0.35">
      <c r="A40" s="1">
        <v>2026352035</v>
      </c>
      <c r="B40" s="2">
        <v>42473</v>
      </c>
      <c r="C40" s="1">
        <v>1</v>
      </c>
      <c r="D40" s="1">
        <v>531</v>
      </c>
      <c r="E40" s="1">
        <v>565</v>
      </c>
      <c r="F40" s="2">
        <v>42473</v>
      </c>
    </row>
    <row r="41" spans="1:6" x14ac:dyDescent="0.35">
      <c r="A41" s="1">
        <v>2026352035</v>
      </c>
      <c r="B41" s="2">
        <v>42474</v>
      </c>
      <c r="C41" s="1">
        <v>1</v>
      </c>
      <c r="D41" s="1">
        <v>545</v>
      </c>
      <c r="E41" s="1">
        <v>568</v>
      </c>
      <c r="F41" s="2">
        <v>42474</v>
      </c>
    </row>
    <row r="42" spans="1:6" x14ac:dyDescent="0.35">
      <c r="A42" s="1">
        <v>2026352035</v>
      </c>
      <c r="B42" s="2">
        <v>42475</v>
      </c>
      <c r="C42" s="1">
        <v>1</v>
      </c>
      <c r="D42" s="1">
        <v>523</v>
      </c>
      <c r="E42" s="1">
        <v>573</v>
      </c>
      <c r="F42" s="2">
        <v>42475</v>
      </c>
    </row>
    <row r="43" spans="1:6" x14ac:dyDescent="0.35">
      <c r="A43" s="1">
        <v>2026352035</v>
      </c>
      <c r="B43" s="2">
        <v>42476</v>
      </c>
      <c r="C43" s="1">
        <v>1</v>
      </c>
      <c r="D43" s="1">
        <v>524</v>
      </c>
      <c r="E43" s="1">
        <v>567</v>
      </c>
      <c r="F43" s="2">
        <v>42476</v>
      </c>
    </row>
    <row r="44" spans="1:6" x14ac:dyDescent="0.35">
      <c r="A44" s="1">
        <v>2026352035</v>
      </c>
      <c r="B44" s="2">
        <v>42477</v>
      </c>
      <c r="C44" s="1">
        <v>1</v>
      </c>
      <c r="D44" s="1">
        <v>437</v>
      </c>
      <c r="E44" s="1">
        <v>498</v>
      </c>
      <c r="F44" s="2">
        <v>42477</v>
      </c>
    </row>
    <row r="45" spans="1:6" x14ac:dyDescent="0.35">
      <c r="A45" s="1">
        <v>2026352035</v>
      </c>
      <c r="B45" s="2">
        <v>42479</v>
      </c>
      <c r="C45" s="1">
        <v>1</v>
      </c>
      <c r="D45" s="1">
        <v>498</v>
      </c>
      <c r="E45" s="1">
        <v>540</v>
      </c>
      <c r="F45" s="2">
        <v>42479</v>
      </c>
    </row>
    <row r="46" spans="1:6" x14ac:dyDescent="0.35">
      <c r="A46" s="1">
        <v>2026352035</v>
      </c>
      <c r="B46" s="2">
        <v>42480</v>
      </c>
      <c r="C46" s="1">
        <v>1</v>
      </c>
      <c r="D46" s="1">
        <v>461</v>
      </c>
      <c r="E46" s="1">
        <v>510</v>
      </c>
      <c r="F46" s="2">
        <v>42480</v>
      </c>
    </row>
    <row r="47" spans="1:6" x14ac:dyDescent="0.35">
      <c r="A47" s="1">
        <v>2026352035</v>
      </c>
      <c r="B47" s="2">
        <v>42481</v>
      </c>
      <c r="C47" s="1">
        <v>1</v>
      </c>
      <c r="D47" s="1">
        <v>477</v>
      </c>
      <c r="E47" s="1">
        <v>514</v>
      </c>
      <c r="F47" s="2">
        <v>42481</v>
      </c>
    </row>
    <row r="48" spans="1:6" x14ac:dyDescent="0.35">
      <c r="A48" s="1">
        <v>2026352035</v>
      </c>
      <c r="B48" s="2">
        <v>42482</v>
      </c>
      <c r="C48" s="1">
        <v>1</v>
      </c>
      <c r="D48" s="1">
        <v>520</v>
      </c>
      <c r="E48" s="1">
        <v>545</v>
      </c>
      <c r="F48" s="2">
        <v>42482</v>
      </c>
    </row>
    <row r="49" spans="1:6" x14ac:dyDescent="0.35">
      <c r="A49" s="1">
        <v>2026352035</v>
      </c>
      <c r="B49" s="2">
        <v>42483</v>
      </c>
      <c r="C49" s="1">
        <v>1</v>
      </c>
      <c r="D49" s="1">
        <v>522</v>
      </c>
      <c r="E49" s="1">
        <v>554</v>
      </c>
      <c r="F49" s="2">
        <v>42483</v>
      </c>
    </row>
    <row r="50" spans="1:6" x14ac:dyDescent="0.35">
      <c r="A50" s="1">
        <v>2026352035</v>
      </c>
      <c r="B50" s="2">
        <v>42484</v>
      </c>
      <c r="C50" s="1">
        <v>1</v>
      </c>
      <c r="D50" s="1">
        <v>555</v>
      </c>
      <c r="E50" s="1">
        <v>591</v>
      </c>
      <c r="F50" s="2">
        <v>42484</v>
      </c>
    </row>
    <row r="51" spans="1:6" x14ac:dyDescent="0.35">
      <c r="A51" s="1">
        <v>2026352035</v>
      </c>
      <c r="B51" s="2">
        <v>42485</v>
      </c>
      <c r="C51" s="1">
        <v>1</v>
      </c>
      <c r="D51" s="1">
        <v>506</v>
      </c>
      <c r="E51" s="1">
        <v>531</v>
      </c>
      <c r="F51" s="2">
        <v>42485</v>
      </c>
    </row>
    <row r="52" spans="1:6" x14ac:dyDescent="0.35">
      <c r="A52" s="1">
        <v>2026352035</v>
      </c>
      <c r="B52" s="2">
        <v>42487</v>
      </c>
      <c r="C52" s="1">
        <v>1</v>
      </c>
      <c r="D52" s="1">
        <v>508</v>
      </c>
      <c r="E52" s="1">
        <v>545</v>
      </c>
      <c r="F52" s="2">
        <v>42487</v>
      </c>
    </row>
    <row r="53" spans="1:6" x14ac:dyDescent="0.35">
      <c r="A53" s="1">
        <v>2026352035</v>
      </c>
      <c r="B53" s="2">
        <v>42488</v>
      </c>
      <c r="C53" s="1">
        <v>1</v>
      </c>
      <c r="D53" s="1">
        <v>513</v>
      </c>
      <c r="E53" s="1">
        <v>545</v>
      </c>
      <c r="F53" s="2">
        <v>42488</v>
      </c>
    </row>
    <row r="54" spans="1:6" x14ac:dyDescent="0.35">
      <c r="A54" s="1">
        <v>2026352035</v>
      </c>
      <c r="B54" s="2">
        <v>42489</v>
      </c>
      <c r="C54" s="1">
        <v>1</v>
      </c>
      <c r="D54" s="1">
        <v>490</v>
      </c>
      <c r="E54" s="1">
        <v>510</v>
      </c>
      <c r="F54" s="2">
        <v>42489</v>
      </c>
    </row>
    <row r="55" spans="1:6" x14ac:dyDescent="0.35">
      <c r="A55" s="1">
        <v>2026352035</v>
      </c>
      <c r="B55" s="2">
        <v>42490</v>
      </c>
      <c r="C55" s="1">
        <v>1</v>
      </c>
      <c r="D55" s="1">
        <v>573</v>
      </c>
      <c r="E55" s="1">
        <v>607</v>
      </c>
      <c r="F55" s="2">
        <v>42490</v>
      </c>
    </row>
    <row r="56" spans="1:6" x14ac:dyDescent="0.35">
      <c r="A56" s="1">
        <v>2026352035</v>
      </c>
      <c r="B56" s="2">
        <v>42491</v>
      </c>
      <c r="C56" s="1">
        <v>1</v>
      </c>
      <c r="D56" s="1">
        <v>527</v>
      </c>
      <c r="E56" s="1">
        <v>546</v>
      </c>
      <c r="F56" s="2">
        <v>42491</v>
      </c>
    </row>
    <row r="57" spans="1:6" x14ac:dyDescent="0.35">
      <c r="A57" s="1">
        <v>2026352035</v>
      </c>
      <c r="B57" s="2">
        <v>42492</v>
      </c>
      <c r="C57" s="1">
        <v>1</v>
      </c>
      <c r="D57" s="1">
        <v>511</v>
      </c>
      <c r="E57" s="1">
        <v>543</v>
      </c>
      <c r="F57" s="2">
        <v>42492</v>
      </c>
    </row>
    <row r="58" spans="1:6" x14ac:dyDescent="0.35">
      <c r="A58" s="1">
        <v>2026352035</v>
      </c>
      <c r="B58" s="2">
        <v>42494</v>
      </c>
      <c r="C58" s="1">
        <v>1</v>
      </c>
      <c r="D58" s="1">
        <v>538</v>
      </c>
      <c r="E58" s="1">
        <v>560</v>
      </c>
      <c r="F58" s="2">
        <v>42494</v>
      </c>
    </row>
    <row r="59" spans="1:6" x14ac:dyDescent="0.35">
      <c r="A59" s="1">
        <v>2026352035</v>
      </c>
      <c r="B59" s="2">
        <v>42495</v>
      </c>
      <c r="C59" s="1">
        <v>1</v>
      </c>
      <c r="D59" s="1">
        <v>468</v>
      </c>
      <c r="E59" s="1">
        <v>485</v>
      </c>
      <c r="F59" s="2">
        <v>42495</v>
      </c>
    </row>
    <row r="60" spans="1:6" x14ac:dyDescent="0.35">
      <c r="A60" s="1">
        <v>2026352035</v>
      </c>
      <c r="B60" s="2">
        <v>42496</v>
      </c>
      <c r="C60" s="1">
        <v>1</v>
      </c>
      <c r="D60" s="1">
        <v>524</v>
      </c>
      <c r="E60" s="1">
        <v>548</v>
      </c>
      <c r="F60" s="2">
        <v>42496</v>
      </c>
    </row>
    <row r="61" spans="1:6" x14ac:dyDescent="0.35">
      <c r="A61" s="1">
        <v>2026352035</v>
      </c>
      <c r="B61" s="2">
        <v>42497</v>
      </c>
      <c r="C61" s="1">
        <v>1</v>
      </c>
      <c r="D61" s="1">
        <v>511</v>
      </c>
      <c r="E61" s="1">
        <v>521</v>
      </c>
      <c r="F61" s="2">
        <v>42497</v>
      </c>
    </row>
    <row r="62" spans="1:6" x14ac:dyDescent="0.35">
      <c r="A62" s="1">
        <v>2026352035</v>
      </c>
      <c r="B62" s="2">
        <v>42498</v>
      </c>
      <c r="C62" s="1">
        <v>1</v>
      </c>
      <c r="D62" s="1">
        <v>541</v>
      </c>
      <c r="E62" s="1">
        <v>568</v>
      </c>
      <c r="F62" s="2">
        <v>42498</v>
      </c>
    </row>
    <row r="63" spans="1:6" x14ac:dyDescent="0.35">
      <c r="A63" s="1">
        <v>2026352035</v>
      </c>
      <c r="B63" s="2">
        <v>42499</v>
      </c>
      <c r="C63" s="1">
        <v>1</v>
      </c>
      <c r="D63" s="1">
        <v>531</v>
      </c>
      <c r="E63" s="1">
        <v>556</v>
      </c>
      <c r="F63" s="2">
        <v>42499</v>
      </c>
    </row>
    <row r="64" spans="1:6" x14ac:dyDescent="0.35">
      <c r="A64" s="1">
        <v>2026352035</v>
      </c>
      <c r="B64" s="2">
        <v>42500</v>
      </c>
      <c r="C64" s="1">
        <v>1</v>
      </c>
      <c r="D64" s="1">
        <v>357</v>
      </c>
      <c r="E64" s="1">
        <v>380</v>
      </c>
      <c r="F64" s="2">
        <v>42500</v>
      </c>
    </row>
    <row r="65" spans="1:6" x14ac:dyDescent="0.35">
      <c r="A65" s="1">
        <v>2026352035</v>
      </c>
      <c r="B65" s="2">
        <v>42501</v>
      </c>
      <c r="C65" s="1">
        <v>1</v>
      </c>
      <c r="D65" s="1">
        <v>523</v>
      </c>
      <c r="E65" s="1">
        <v>553</v>
      </c>
      <c r="F65" s="2">
        <v>42501</v>
      </c>
    </row>
    <row r="66" spans="1:6" x14ac:dyDescent="0.35">
      <c r="A66" s="1">
        <v>2026352035</v>
      </c>
      <c r="B66" s="2">
        <v>42502</v>
      </c>
      <c r="C66" s="1">
        <v>1</v>
      </c>
      <c r="D66" s="1">
        <v>456</v>
      </c>
      <c r="E66" s="1">
        <v>485</v>
      </c>
      <c r="F66" s="2">
        <v>42502</v>
      </c>
    </row>
    <row r="67" spans="1:6" x14ac:dyDescent="0.35">
      <c r="A67" s="1">
        <v>2320127002</v>
      </c>
      <c r="B67" s="2">
        <v>42483</v>
      </c>
      <c r="C67" s="1">
        <v>1</v>
      </c>
      <c r="D67" s="1">
        <v>61</v>
      </c>
      <c r="E67" s="1">
        <v>69</v>
      </c>
      <c r="F67" s="2">
        <v>42483</v>
      </c>
    </row>
    <row r="68" spans="1:6" x14ac:dyDescent="0.35">
      <c r="A68" s="1">
        <v>2347167796</v>
      </c>
      <c r="B68" s="2">
        <v>42473</v>
      </c>
      <c r="C68" s="1">
        <v>1</v>
      </c>
      <c r="D68" s="1">
        <v>467</v>
      </c>
      <c r="E68" s="1">
        <v>531</v>
      </c>
      <c r="F68" s="2">
        <v>42473</v>
      </c>
    </row>
    <row r="69" spans="1:6" x14ac:dyDescent="0.35">
      <c r="A69" s="1">
        <v>2347167796</v>
      </c>
      <c r="B69" s="2">
        <v>42474</v>
      </c>
      <c r="C69" s="1">
        <v>1</v>
      </c>
      <c r="D69" s="1">
        <v>445</v>
      </c>
      <c r="E69" s="1">
        <v>489</v>
      </c>
      <c r="F69" s="2">
        <v>42474</v>
      </c>
    </row>
    <row r="70" spans="1:6" x14ac:dyDescent="0.35">
      <c r="A70" s="1">
        <v>2347167796</v>
      </c>
      <c r="B70" s="2">
        <v>42475</v>
      </c>
      <c r="C70" s="1">
        <v>1</v>
      </c>
      <c r="D70" s="1">
        <v>452</v>
      </c>
      <c r="E70" s="1">
        <v>504</v>
      </c>
      <c r="F70" s="2">
        <v>42475</v>
      </c>
    </row>
    <row r="71" spans="1:6" x14ac:dyDescent="0.35">
      <c r="A71" s="1">
        <v>2347167796</v>
      </c>
      <c r="B71" s="2">
        <v>42477</v>
      </c>
      <c r="C71" s="1">
        <v>1</v>
      </c>
      <c r="D71" s="1">
        <v>556</v>
      </c>
      <c r="E71" s="1">
        <v>602</v>
      </c>
      <c r="F71" s="2">
        <v>42477</v>
      </c>
    </row>
    <row r="72" spans="1:6" x14ac:dyDescent="0.35">
      <c r="A72" s="1">
        <v>2347167796</v>
      </c>
      <c r="B72" s="2">
        <v>42478</v>
      </c>
      <c r="C72" s="1">
        <v>1</v>
      </c>
      <c r="D72" s="1">
        <v>500</v>
      </c>
      <c r="E72" s="1">
        <v>557</v>
      </c>
      <c r="F72" s="2">
        <v>42478</v>
      </c>
    </row>
    <row r="73" spans="1:6" x14ac:dyDescent="0.35">
      <c r="A73" s="1">
        <v>2347167796</v>
      </c>
      <c r="B73" s="2">
        <v>42479</v>
      </c>
      <c r="C73" s="1">
        <v>1</v>
      </c>
      <c r="D73" s="1">
        <v>465</v>
      </c>
      <c r="E73" s="1">
        <v>514</v>
      </c>
      <c r="F73" s="2">
        <v>42479</v>
      </c>
    </row>
    <row r="74" spans="1:6" x14ac:dyDescent="0.35">
      <c r="A74" s="1">
        <v>2347167796</v>
      </c>
      <c r="B74" s="2">
        <v>42481</v>
      </c>
      <c r="C74" s="1">
        <v>1</v>
      </c>
      <c r="D74" s="1">
        <v>460</v>
      </c>
      <c r="E74" s="1">
        <v>484</v>
      </c>
      <c r="F74" s="2">
        <v>42481</v>
      </c>
    </row>
    <row r="75" spans="1:6" x14ac:dyDescent="0.35">
      <c r="A75" s="1">
        <v>2347167796</v>
      </c>
      <c r="B75" s="2">
        <v>42482</v>
      </c>
      <c r="C75" s="1">
        <v>1</v>
      </c>
      <c r="D75" s="1">
        <v>405</v>
      </c>
      <c r="E75" s="1">
        <v>461</v>
      </c>
      <c r="F75" s="2">
        <v>42482</v>
      </c>
    </row>
    <row r="76" spans="1:6" x14ac:dyDescent="0.35">
      <c r="A76" s="1">
        <v>2347167796</v>
      </c>
      <c r="B76" s="2">
        <v>42483</v>
      </c>
      <c r="C76" s="1">
        <v>1</v>
      </c>
      <c r="D76" s="1">
        <v>374</v>
      </c>
      <c r="E76" s="1">
        <v>386</v>
      </c>
      <c r="F76" s="2">
        <v>42483</v>
      </c>
    </row>
    <row r="77" spans="1:6" x14ac:dyDescent="0.35">
      <c r="A77" s="1">
        <v>2347167796</v>
      </c>
      <c r="B77" s="2">
        <v>42484</v>
      </c>
      <c r="C77" s="1">
        <v>1</v>
      </c>
      <c r="D77" s="1">
        <v>442</v>
      </c>
      <c r="E77" s="1">
        <v>459</v>
      </c>
      <c r="F77" s="2">
        <v>42484</v>
      </c>
    </row>
    <row r="78" spans="1:6" x14ac:dyDescent="0.35">
      <c r="A78" s="1">
        <v>2347167796</v>
      </c>
      <c r="B78" s="2">
        <v>42485</v>
      </c>
      <c r="C78" s="1">
        <v>1</v>
      </c>
      <c r="D78" s="1">
        <v>433</v>
      </c>
      <c r="E78" s="1">
        <v>471</v>
      </c>
      <c r="F78" s="2">
        <v>42485</v>
      </c>
    </row>
    <row r="79" spans="1:6" x14ac:dyDescent="0.35">
      <c r="A79" s="1">
        <v>2347167796</v>
      </c>
      <c r="B79" s="2">
        <v>42486</v>
      </c>
      <c r="C79" s="1">
        <v>1</v>
      </c>
      <c r="D79" s="1">
        <v>436</v>
      </c>
      <c r="E79" s="1">
        <v>490</v>
      </c>
      <c r="F79" s="2">
        <v>42486</v>
      </c>
    </row>
    <row r="80" spans="1:6" x14ac:dyDescent="0.35">
      <c r="A80" s="1">
        <v>2347167796</v>
      </c>
      <c r="B80" s="2">
        <v>42487</v>
      </c>
      <c r="C80" s="1">
        <v>1</v>
      </c>
      <c r="D80" s="1">
        <v>448</v>
      </c>
      <c r="E80" s="1">
        <v>499</v>
      </c>
      <c r="F80" s="2">
        <v>42487</v>
      </c>
    </row>
    <row r="81" spans="1:6" x14ac:dyDescent="0.35">
      <c r="A81" s="1">
        <v>2347167796</v>
      </c>
      <c r="B81" s="2">
        <v>42488</v>
      </c>
      <c r="C81" s="1">
        <v>1</v>
      </c>
      <c r="D81" s="1">
        <v>408</v>
      </c>
      <c r="E81" s="1">
        <v>450</v>
      </c>
      <c r="F81" s="2">
        <v>42488</v>
      </c>
    </row>
    <row r="82" spans="1:6" x14ac:dyDescent="0.35">
      <c r="A82" s="1">
        <v>2347167796</v>
      </c>
      <c r="B82" s="2">
        <v>42489</v>
      </c>
      <c r="C82" s="1">
        <v>1</v>
      </c>
      <c r="D82" s="1">
        <v>411</v>
      </c>
      <c r="E82" s="1">
        <v>473</v>
      </c>
      <c r="F82" s="2">
        <v>42489</v>
      </c>
    </row>
    <row r="83" spans="1:6" x14ac:dyDescent="0.35">
      <c r="A83" s="1">
        <v>3977333714</v>
      </c>
      <c r="B83" s="2">
        <v>42472</v>
      </c>
      <c r="C83" s="1">
        <v>1</v>
      </c>
      <c r="D83" s="1">
        <v>274</v>
      </c>
      <c r="E83" s="1">
        <v>469</v>
      </c>
      <c r="F83" s="2">
        <v>42472</v>
      </c>
    </row>
    <row r="84" spans="1:6" x14ac:dyDescent="0.35">
      <c r="A84" s="1">
        <v>3977333714</v>
      </c>
      <c r="B84" s="2">
        <v>42473</v>
      </c>
      <c r="C84" s="1">
        <v>2</v>
      </c>
      <c r="D84" s="1">
        <v>295</v>
      </c>
      <c r="E84" s="1">
        <v>456</v>
      </c>
      <c r="F84" s="2">
        <v>42473</v>
      </c>
    </row>
    <row r="85" spans="1:6" x14ac:dyDescent="0.35">
      <c r="A85" s="1">
        <v>3977333714</v>
      </c>
      <c r="B85" s="2">
        <v>42474</v>
      </c>
      <c r="C85" s="1">
        <v>1</v>
      </c>
      <c r="D85" s="1">
        <v>291</v>
      </c>
      <c r="E85" s="1">
        <v>397</v>
      </c>
      <c r="F85" s="2">
        <v>42474</v>
      </c>
    </row>
    <row r="86" spans="1:6" x14ac:dyDescent="0.35">
      <c r="A86" s="1">
        <v>3977333714</v>
      </c>
      <c r="B86" s="2">
        <v>42475</v>
      </c>
      <c r="C86" s="1">
        <v>1</v>
      </c>
      <c r="D86" s="1">
        <v>424</v>
      </c>
      <c r="E86" s="1">
        <v>556</v>
      </c>
      <c r="F86" s="2">
        <v>42475</v>
      </c>
    </row>
    <row r="87" spans="1:6" x14ac:dyDescent="0.35">
      <c r="A87" s="1">
        <v>3977333714</v>
      </c>
      <c r="B87" s="2">
        <v>42476</v>
      </c>
      <c r="C87" s="1">
        <v>1</v>
      </c>
      <c r="D87" s="1">
        <v>283</v>
      </c>
      <c r="E87" s="1">
        <v>510</v>
      </c>
      <c r="F87" s="2">
        <v>42476</v>
      </c>
    </row>
    <row r="88" spans="1:6" x14ac:dyDescent="0.35">
      <c r="A88" s="1">
        <v>3977333714</v>
      </c>
      <c r="B88" s="2">
        <v>42477</v>
      </c>
      <c r="C88" s="1">
        <v>1</v>
      </c>
      <c r="D88" s="1">
        <v>381</v>
      </c>
      <c r="E88" s="1">
        <v>566</v>
      </c>
      <c r="F88" s="2">
        <v>42477</v>
      </c>
    </row>
    <row r="89" spans="1:6" x14ac:dyDescent="0.35">
      <c r="A89" s="1">
        <v>3977333714</v>
      </c>
      <c r="B89" s="2">
        <v>42478</v>
      </c>
      <c r="C89" s="1">
        <v>2</v>
      </c>
      <c r="D89" s="1">
        <v>412</v>
      </c>
      <c r="E89" s="1">
        <v>522</v>
      </c>
      <c r="F89" s="2">
        <v>42478</v>
      </c>
    </row>
    <row r="90" spans="1:6" x14ac:dyDescent="0.35">
      <c r="A90" s="1">
        <v>3977333714</v>
      </c>
      <c r="B90" s="2">
        <v>42479</v>
      </c>
      <c r="C90" s="1">
        <v>1</v>
      </c>
      <c r="D90" s="1">
        <v>219</v>
      </c>
      <c r="E90" s="1">
        <v>395</v>
      </c>
      <c r="F90" s="2">
        <v>42479</v>
      </c>
    </row>
    <row r="91" spans="1:6" x14ac:dyDescent="0.35">
      <c r="A91" s="1">
        <v>3977333714</v>
      </c>
      <c r="B91" s="2">
        <v>42480</v>
      </c>
      <c r="C91" s="1">
        <v>2</v>
      </c>
      <c r="D91" s="1">
        <v>152</v>
      </c>
      <c r="E91" s="1">
        <v>305</v>
      </c>
      <c r="F91" s="2">
        <v>42480</v>
      </c>
    </row>
    <row r="92" spans="1:6" x14ac:dyDescent="0.35">
      <c r="A92" s="1">
        <v>3977333714</v>
      </c>
      <c r="B92" s="2">
        <v>42481</v>
      </c>
      <c r="C92" s="1">
        <v>1</v>
      </c>
      <c r="D92" s="1">
        <v>332</v>
      </c>
      <c r="E92" s="1">
        <v>512</v>
      </c>
      <c r="F92" s="2">
        <v>42481</v>
      </c>
    </row>
    <row r="93" spans="1:6" x14ac:dyDescent="0.35">
      <c r="A93" s="1">
        <v>3977333714</v>
      </c>
      <c r="B93" s="2">
        <v>42482</v>
      </c>
      <c r="C93" s="1">
        <v>1</v>
      </c>
      <c r="D93" s="1">
        <v>355</v>
      </c>
      <c r="E93" s="1">
        <v>476</v>
      </c>
      <c r="F93" s="2">
        <v>42482</v>
      </c>
    </row>
    <row r="94" spans="1:6" x14ac:dyDescent="0.35">
      <c r="A94" s="1">
        <v>3977333714</v>
      </c>
      <c r="B94" s="2">
        <v>42483</v>
      </c>
      <c r="C94" s="1">
        <v>1</v>
      </c>
      <c r="D94" s="1">
        <v>235</v>
      </c>
      <c r="E94" s="1">
        <v>372</v>
      </c>
      <c r="F94" s="2">
        <v>42483</v>
      </c>
    </row>
    <row r="95" spans="1:6" x14ac:dyDescent="0.35">
      <c r="A95" s="1">
        <v>3977333714</v>
      </c>
      <c r="B95" s="2">
        <v>42484</v>
      </c>
      <c r="C95" s="1">
        <v>1</v>
      </c>
      <c r="D95" s="1">
        <v>310</v>
      </c>
      <c r="E95" s="1">
        <v>526</v>
      </c>
      <c r="F95" s="2">
        <v>42484</v>
      </c>
    </row>
    <row r="96" spans="1:6" x14ac:dyDescent="0.35">
      <c r="A96" s="1">
        <v>3977333714</v>
      </c>
      <c r="B96" s="2">
        <v>42485</v>
      </c>
      <c r="C96" s="1">
        <v>1</v>
      </c>
      <c r="D96" s="1">
        <v>262</v>
      </c>
      <c r="E96" s="1">
        <v>467</v>
      </c>
      <c r="F96" s="2">
        <v>42485</v>
      </c>
    </row>
    <row r="97" spans="1:6" x14ac:dyDescent="0.35">
      <c r="A97" s="1">
        <v>3977333714</v>
      </c>
      <c r="B97" s="2">
        <v>42486</v>
      </c>
      <c r="C97" s="1">
        <v>1</v>
      </c>
      <c r="D97" s="1">
        <v>250</v>
      </c>
      <c r="E97" s="1">
        <v>371</v>
      </c>
      <c r="F97" s="2">
        <v>42486</v>
      </c>
    </row>
    <row r="98" spans="1:6" x14ac:dyDescent="0.35">
      <c r="A98" s="1">
        <v>3977333714</v>
      </c>
      <c r="B98" s="2">
        <v>42487</v>
      </c>
      <c r="C98" s="1">
        <v>1</v>
      </c>
      <c r="D98" s="1">
        <v>349</v>
      </c>
      <c r="E98" s="1">
        <v>540</v>
      </c>
      <c r="F98" s="2">
        <v>42487</v>
      </c>
    </row>
    <row r="99" spans="1:6" x14ac:dyDescent="0.35">
      <c r="A99" s="1">
        <v>3977333714</v>
      </c>
      <c r="B99" s="2">
        <v>42488</v>
      </c>
      <c r="C99" s="1">
        <v>1</v>
      </c>
      <c r="D99" s="1">
        <v>261</v>
      </c>
      <c r="E99" s="1">
        <v>423</v>
      </c>
      <c r="F99" s="2">
        <v>42488</v>
      </c>
    </row>
    <row r="100" spans="1:6" x14ac:dyDescent="0.35">
      <c r="A100" s="1">
        <v>3977333714</v>
      </c>
      <c r="B100" s="2">
        <v>42489</v>
      </c>
      <c r="C100" s="1">
        <v>1</v>
      </c>
      <c r="D100" s="1">
        <v>333</v>
      </c>
      <c r="E100" s="1">
        <v>478</v>
      </c>
      <c r="F100" s="2">
        <v>42489</v>
      </c>
    </row>
    <row r="101" spans="1:6" x14ac:dyDescent="0.35">
      <c r="A101" s="1">
        <v>3977333714</v>
      </c>
      <c r="B101" s="2">
        <v>42490</v>
      </c>
      <c r="C101" s="1">
        <v>1</v>
      </c>
      <c r="D101" s="1">
        <v>237</v>
      </c>
      <c r="E101" s="1">
        <v>382</v>
      </c>
      <c r="F101" s="2">
        <v>42490</v>
      </c>
    </row>
    <row r="102" spans="1:6" x14ac:dyDescent="0.35">
      <c r="A102" s="1">
        <v>3977333714</v>
      </c>
      <c r="B102" s="2">
        <v>42491</v>
      </c>
      <c r="C102" s="1">
        <v>1</v>
      </c>
      <c r="D102" s="1">
        <v>383</v>
      </c>
      <c r="E102" s="1">
        <v>626</v>
      </c>
      <c r="F102" s="2">
        <v>42491</v>
      </c>
    </row>
    <row r="103" spans="1:6" x14ac:dyDescent="0.35">
      <c r="A103" s="1">
        <v>3977333714</v>
      </c>
      <c r="B103" s="2">
        <v>42492</v>
      </c>
      <c r="C103" s="1">
        <v>1</v>
      </c>
      <c r="D103" s="1">
        <v>230</v>
      </c>
      <c r="E103" s="1">
        <v>384</v>
      </c>
      <c r="F103" s="2">
        <v>42492</v>
      </c>
    </row>
    <row r="104" spans="1:6" x14ac:dyDescent="0.35">
      <c r="A104" s="1">
        <v>3977333714</v>
      </c>
      <c r="B104" s="2">
        <v>42493</v>
      </c>
      <c r="C104" s="1">
        <v>1</v>
      </c>
      <c r="D104" s="1">
        <v>292</v>
      </c>
      <c r="E104" s="1">
        <v>500</v>
      </c>
      <c r="F104" s="2">
        <v>42493</v>
      </c>
    </row>
    <row r="105" spans="1:6" x14ac:dyDescent="0.35">
      <c r="A105" s="1">
        <v>3977333714</v>
      </c>
      <c r="B105" s="2">
        <v>42494</v>
      </c>
      <c r="C105" s="1">
        <v>1</v>
      </c>
      <c r="D105" s="1">
        <v>213</v>
      </c>
      <c r="E105" s="1">
        <v>336</v>
      </c>
      <c r="F105" s="2">
        <v>42494</v>
      </c>
    </row>
    <row r="106" spans="1:6" x14ac:dyDescent="0.35">
      <c r="A106" s="1">
        <v>3977333714</v>
      </c>
      <c r="B106" s="2">
        <v>42495</v>
      </c>
      <c r="C106" s="1">
        <v>1</v>
      </c>
      <c r="D106" s="1">
        <v>318</v>
      </c>
      <c r="E106" s="1">
        <v>480</v>
      </c>
      <c r="F106" s="2">
        <v>42495</v>
      </c>
    </row>
    <row r="107" spans="1:6" x14ac:dyDescent="0.35">
      <c r="A107" s="1">
        <v>3977333714</v>
      </c>
      <c r="B107" s="2">
        <v>42496</v>
      </c>
      <c r="C107" s="1">
        <v>1</v>
      </c>
      <c r="D107" s="1">
        <v>323</v>
      </c>
      <c r="E107" s="1">
        <v>512</v>
      </c>
      <c r="F107" s="2">
        <v>42496</v>
      </c>
    </row>
    <row r="108" spans="1:6" x14ac:dyDescent="0.35">
      <c r="A108" s="1">
        <v>3977333714</v>
      </c>
      <c r="B108" s="2">
        <v>42497</v>
      </c>
      <c r="C108" s="1">
        <v>1</v>
      </c>
      <c r="D108" s="1">
        <v>237</v>
      </c>
      <c r="E108" s="1">
        <v>443</v>
      </c>
      <c r="F108" s="2">
        <v>42497</v>
      </c>
    </row>
    <row r="109" spans="1:6" x14ac:dyDescent="0.35">
      <c r="A109" s="1">
        <v>3977333714</v>
      </c>
      <c r="B109" s="2">
        <v>42498</v>
      </c>
      <c r="C109" s="1">
        <v>2</v>
      </c>
      <c r="D109" s="1">
        <v>259</v>
      </c>
      <c r="E109" s="1">
        <v>456</v>
      </c>
      <c r="F109" s="2">
        <v>42498</v>
      </c>
    </row>
    <row r="110" spans="1:6" x14ac:dyDescent="0.35">
      <c r="A110" s="1">
        <v>3977333714</v>
      </c>
      <c r="B110" s="2">
        <v>42500</v>
      </c>
      <c r="C110" s="1">
        <v>1</v>
      </c>
      <c r="D110" s="1">
        <v>312</v>
      </c>
      <c r="E110" s="1">
        <v>452</v>
      </c>
      <c r="F110" s="2">
        <v>42500</v>
      </c>
    </row>
    <row r="111" spans="1:6" x14ac:dyDescent="0.35">
      <c r="A111" s="1">
        <v>4020332650</v>
      </c>
      <c r="B111" s="2">
        <v>42472</v>
      </c>
      <c r="C111" s="1">
        <v>1</v>
      </c>
      <c r="D111" s="1">
        <v>501</v>
      </c>
      <c r="E111" s="1">
        <v>541</v>
      </c>
      <c r="F111" s="2">
        <v>42472</v>
      </c>
    </row>
    <row r="112" spans="1:6" x14ac:dyDescent="0.35">
      <c r="A112" s="1">
        <v>4020332650</v>
      </c>
      <c r="B112" s="2">
        <v>42476</v>
      </c>
      <c r="C112" s="1">
        <v>1</v>
      </c>
      <c r="D112" s="1">
        <v>77</v>
      </c>
      <c r="E112" s="1">
        <v>77</v>
      </c>
      <c r="F112" s="2">
        <v>42476</v>
      </c>
    </row>
    <row r="113" spans="1:6" x14ac:dyDescent="0.35">
      <c r="A113" s="1">
        <v>4020332650</v>
      </c>
      <c r="B113" s="2">
        <v>42493</v>
      </c>
      <c r="C113" s="1">
        <v>1</v>
      </c>
      <c r="D113" s="1">
        <v>322</v>
      </c>
      <c r="E113" s="1">
        <v>332</v>
      </c>
      <c r="F113" s="2">
        <v>42493</v>
      </c>
    </row>
    <row r="114" spans="1:6" x14ac:dyDescent="0.35">
      <c r="A114" s="1">
        <v>4020332650</v>
      </c>
      <c r="B114" s="2">
        <v>42494</v>
      </c>
      <c r="C114" s="1">
        <v>1</v>
      </c>
      <c r="D114" s="1">
        <v>478</v>
      </c>
      <c r="E114" s="1">
        <v>536</v>
      </c>
      <c r="F114" s="2">
        <v>42494</v>
      </c>
    </row>
    <row r="115" spans="1:6" x14ac:dyDescent="0.35">
      <c r="A115" s="1">
        <v>4020332650</v>
      </c>
      <c r="B115" s="2">
        <v>42495</v>
      </c>
      <c r="C115" s="1">
        <v>1</v>
      </c>
      <c r="D115" s="1">
        <v>226</v>
      </c>
      <c r="E115" s="1">
        <v>248</v>
      </c>
      <c r="F115" s="2">
        <v>42495</v>
      </c>
    </row>
    <row r="116" spans="1:6" x14ac:dyDescent="0.35">
      <c r="A116" s="1">
        <v>4020332650</v>
      </c>
      <c r="B116" s="2">
        <v>42496</v>
      </c>
      <c r="C116" s="1">
        <v>1</v>
      </c>
      <c r="D116" s="1">
        <v>385</v>
      </c>
      <c r="E116" s="1">
        <v>408</v>
      </c>
      <c r="F116" s="2">
        <v>42496</v>
      </c>
    </row>
    <row r="117" spans="1:6" x14ac:dyDescent="0.35">
      <c r="A117" s="1">
        <v>4020332650</v>
      </c>
      <c r="B117" s="2">
        <v>42498</v>
      </c>
      <c r="C117" s="1">
        <v>1</v>
      </c>
      <c r="D117" s="1">
        <v>364</v>
      </c>
      <c r="E117" s="1">
        <v>402</v>
      </c>
      <c r="F117" s="2">
        <v>42498</v>
      </c>
    </row>
    <row r="118" spans="1:6" x14ac:dyDescent="0.35">
      <c r="A118" s="1">
        <v>4020332650</v>
      </c>
      <c r="B118" s="2">
        <v>42500</v>
      </c>
      <c r="C118" s="1">
        <v>1</v>
      </c>
      <c r="D118" s="1">
        <v>442</v>
      </c>
      <c r="E118" s="1">
        <v>494</v>
      </c>
      <c r="F118" s="2">
        <v>42500</v>
      </c>
    </row>
    <row r="119" spans="1:6" x14ac:dyDescent="0.35">
      <c r="A119" s="1">
        <v>4319703577</v>
      </c>
      <c r="B119" s="2">
        <v>42474</v>
      </c>
      <c r="C119" s="1">
        <v>1</v>
      </c>
      <c r="D119" s="1">
        <v>535</v>
      </c>
      <c r="E119" s="1">
        <v>557</v>
      </c>
      <c r="F119" s="2">
        <v>42474</v>
      </c>
    </row>
    <row r="120" spans="1:6" x14ac:dyDescent="0.35">
      <c r="A120" s="1">
        <v>4319703577</v>
      </c>
      <c r="B120" s="2">
        <v>42475</v>
      </c>
      <c r="C120" s="1">
        <v>1</v>
      </c>
      <c r="D120" s="1">
        <v>465</v>
      </c>
      <c r="E120" s="1">
        <v>491</v>
      </c>
      <c r="F120" s="2">
        <v>42475</v>
      </c>
    </row>
    <row r="121" spans="1:6" x14ac:dyDescent="0.35">
      <c r="A121" s="1">
        <v>4319703577</v>
      </c>
      <c r="B121" s="2">
        <v>42476</v>
      </c>
      <c r="C121" s="1">
        <v>1</v>
      </c>
      <c r="D121" s="1">
        <v>506</v>
      </c>
      <c r="E121" s="1">
        <v>522</v>
      </c>
      <c r="F121" s="2">
        <v>42476</v>
      </c>
    </row>
    <row r="122" spans="1:6" x14ac:dyDescent="0.35">
      <c r="A122" s="1">
        <v>4319703577</v>
      </c>
      <c r="B122" s="2">
        <v>42478</v>
      </c>
      <c r="C122" s="1">
        <v>1</v>
      </c>
      <c r="D122" s="1">
        <v>515</v>
      </c>
      <c r="E122" s="1">
        <v>551</v>
      </c>
      <c r="F122" s="2">
        <v>42478</v>
      </c>
    </row>
    <row r="123" spans="1:6" x14ac:dyDescent="0.35">
      <c r="A123" s="1">
        <v>4319703577</v>
      </c>
      <c r="B123" s="2">
        <v>42479</v>
      </c>
      <c r="C123" s="1">
        <v>2</v>
      </c>
      <c r="D123" s="1">
        <v>461</v>
      </c>
      <c r="E123" s="1">
        <v>498</v>
      </c>
      <c r="F123" s="2">
        <v>42479</v>
      </c>
    </row>
    <row r="124" spans="1:6" x14ac:dyDescent="0.35">
      <c r="A124" s="1">
        <v>4319703577</v>
      </c>
      <c r="B124" s="2">
        <v>42480</v>
      </c>
      <c r="C124" s="1">
        <v>1</v>
      </c>
      <c r="D124" s="1">
        <v>523</v>
      </c>
      <c r="E124" s="1">
        <v>543</v>
      </c>
      <c r="F124" s="2">
        <v>42480</v>
      </c>
    </row>
    <row r="125" spans="1:6" x14ac:dyDescent="0.35">
      <c r="A125" s="1">
        <v>4319703577</v>
      </c>
      <c r="B125" s="2">
        <v>42481</v>
      </c>
      <c r="C125" s="1">
        <v>1</v>
      </c>
      <c r="D125" s="1">
        <v>59</v>
      </c>
      <c r="E125" s="1">
        <v>65</v>
      </c>
      <c r="F125" s="2">
        <v>42481</v>
      </c>
    </row>
    <row r="126" spans="1:6" x14ac:dyDescent="0.35">
      <c r="A126" s="1">
        <v>4319703577</v>
      </c>
      <c r="B126" s="2">
        <v>42482</v>
      </c>
      <c r="C126" s="1">
        <v>1</v>
      </c>
      <c r="D126" s="1">
        <v>533</v>
      </c>
      <c r="E126" s="1">
        <v>550</v>
      </c>
      <c r="F126" s="2">
        <v>42482</v>
      </c>
    </row>
    <row r="127" spans="1:6" x14ac:dyDescent="0.35">
      <c r="A127" s="1">
        <v>4319703577</v>
      </c>
      <c r="B127" s="2">
        <v>42483</v>
      </c>
      <c r="C127" s="1">
        <v>1</v>
      </c>
      <c r="D127" s="1">
        <v>692</v>
      </c>
      <c r="E127" s="1">
        <v>722</v>
      </c>
      <c r="F127" s="2">
        <v>42483</v>
      </c>
    </row>
    <row r="128" spans="1:6" x14ac:dyDescent="0.35">
      <c r="A128" s="1">
        <v>4319703577</v>
      </c>
      <c r="B128" s="2">
        <v>42484</v>
      </c>
      <c r="C128" s="1">
        <v>1</v>
      </c>
      <c r="D128" s="1">
        <v>467</v>
      </c>
      <c r="E128" s="1">
        <v>501</v>
      </c>
      <c r="F128" s="2">
        <v>42484</v>
      </c>
    </row>
    <row r="129" spans="1:6" x14ac:dyDescent="0.35">
      <c r="A129" s="1">
        <v>4319703577</v>
      </c>
      <c r="B129" s="2">
        <v>42485</v>
      </c>
      <c r="C129" s="1">
        <v>1</v>
      </c>
      <c r="D129" s="1">
        <v>488</v>
      </c>
      <c r="E129" s="1">
        <v>506</v>
      </c>
      <c r="F129" s="2">
        <v>42485</v>
      </c>
    </row>
    <row r="130" spans="1:6" x14ac:dyDescent="0.35">
      <c r="A130" s="1">
        <v>4319703577</v>
      </c>
      <c r="B130" s="2">
        <v>42486</v>
      </c>
      <c r="C130" s="1">
        <v>1</v>
      </c>
      <c r="D130" s="1">
        <v>505</v>
      </c>
      <c r="E130" s="1">
        <v>516</v>
      </c>
      <c r="F130" s="2">
        <v>42486</v>
      </c>
    </row>
    <row r="131" spans="1:6" x14ac:dyDescent="0.35">
      <c r="A131" s="1">
        <v>4319703577</v>
      </c>
      <c r="B131" s="2">
        <v>42487</v>
      </c>
      <c r="C131" s="1">
        <v>1</v>
      </c>
      <c r="D131" s="1">
        <v>286</v>
      </c>
      <c r="E131" s="1">
        <v>307</v>
      </c>
      <c r="F131" s="2">
        <v>42487</v>
      </c>
    </row>
    <row r="132" spans="1:6" x14ac:dyDescent="0.35">
      <c r="A132" s="1">
        <v>4319703577</v>
      </c>
      <c r="B132" s="2">
        <v>42488</v>
      </c>
      <c r="C132" s="1">
        <v>1</v>
      </c>
      <c r="D132" s="1">
        <v>497</v>
      </c>
      <c r="E132" s="1">
        <v>522</v>
      </c>
      <c r="F132" s="2">
        <v>42488</v>
      </c>
    </row>
    <row r="133" spans="1:6" x14ac:dyDescent="0.35">
      <c r="A133" s="1">
        <v>4319703577</v>
      </c>
      <c r="B133" s="2">
        <v>42489</v>
      </c>
      <c r="C133" s="1">
        <v>1</v>
      </c>
      <c r="D133" s="1">
        <v>523</v>
      </c>
      <c r="E133" s="1">
        <v>546</v>
      </c>
      <c r="F133" s="2">
        <v>42489</v>
      </c>
    </row>
    <row r="134" spans="1:6" x14ac:dyDescent="0.35">
      <c r="A134" s="1">
        <v>4319703577</v>
      </c>
      <c r="B134" s="2">
        <v>42490</v>
      </c>
      <c r="C134" s="1">
        <v>1</v>
      </c>
      <c r="D134" s="1">
        <v>490</v>
      </c>
      <c r="E134" s="1">
        <v>516</v>
      </c>
      <c r="F134" s="2">
        <v>42490</v>
      </c>
    </row>
    <row r="135" spans="1:6" x14ac:dyDescent="0.35">
      <c r="A135" s="1">
        <v>4319703577</v>
      </c>
      <c r="B135" s="2">
        <v>42491</v>
      </c>
      <c r="C135" s="1">
        <v>1</v>
      </c>
      <c r="D135" s="1">
        <v>484</v>
      </c>
      <c r="E135" s="1">
        <v>500</v>
      </c>
      <c r="F135" s="2">
        <v>42491</v>
      </c>
    </row>
    <row r="136" spans="1:6" x14ac:dyDescent="0.35">
      <c r="A136" s="1">
        <v>4319703577</v>
      </c>
      <c r="B136" s="2">
        <v>42492</v>
      </c>
      <c r="C136" s="1">
        <v>1</v>
      </c>
      <c r="D136" s="1">
        <v>478</v>
      </c>
      <c r="E136" s="1">
        <v>506</v>
      </c>
      <c r="F136" s="2">
        <v>42492</v>
      </c>
    </row>
    <row r="137" spans="1:6" x14ac:dyDescent="0.35">
      <c r="A137" s="1">
        <v>4319703577</v>
      </c>
      <c r="B137" s="2">
        <v>42493</v>
      </c>
      <c r="C137" s="1">
        <v>1</v>
      </c>
      <c r="D137" s="1">
        <v>474</v>
      </c>
      <c r="E137" s="1">
        <v>512</v>
      </c>
      <c r="F137" s="2">
        <v>42493</v>
      </c>
    </row>
    <row r="138" spans="1:6" x14ac:dyDescent="0.35">
      <c r="A138" s="1">
        <v>4319703577</v>
      </c>
      <c r="B138" s="2">
        <v>42496</v>
      </c>
      <c r="C138" s="1">
        <v>1</v>
      </c>
      <c r="D138" s="1">
        <v>450</v>
      </c>
      <c r="E138" s="1">
        <v>491</v>
      </c>
      <c r="F138" s="2">
        <v>42496</v>
      </c>
    </row>
    <row r="139" spans="1:6" x14ac:dyDescent="0.35">
      <c r="A139" s="1">
        <v>4319703577</v>
      </c>
      <c r="B139" s="2">
        <v>42497</v>
      </c>
      <c r="C139" s="1">
        <v>1</v>
      </c>
      <c r="D139" s="1">
        <v>507</v>
      </c>
      <c r="E139" s="1">
        <v>530</v>
      </c>
      <c r="F139" s="2">
        <v>42497</v>
      </c>
    </row>
    <row r="140" spans="1:6" x14ac:dyDescent="0.35">
      <c r="A140" s="1">
        <v>4319703577</v>
      </c>
      <c r="B140" s="2">
        <v>42498</v>
      </c>
      <c r="C140" s="1">
        <v>1</v>
      </c>
      <c r="D140" s="1">
        <v>602</v>
      </c>
      <c r="E140" s="1">
        <v>638</v>
      </c>
      <c r="F140" s="2">
        <v>42498</v>
      </c>
    </row>
    <row r="141" spans="1:6" x14ac:dyDescent="0.35">
      <c r="A141" s="1">
        <v>4319703577</v>
      </c>
      <c r="B141" s="2">
        <v>42499</v>
      </c>
      <c r="C141" s="1">
        <v>1</v>
      </c>
      <c r="D141" s="1">
        <v>535</v>
      </c>
      <c r="E141" s="1">
        <v>565</v>
      </c>
      <c r="F141" s="2">
        <v>42499</v>
      </c>
    </row>
    <row r="142" spans="1:6" x14ac:dyDescent="0.35">
      <c r="A142" s="1">
        <v>4319703577</v>
      </c>
      <c r="B142" s="2">
        <v>42500</v>
      </c>
      <c r="C142" s="1">
        <v>1</v>
      </c>
      <c r="D142" s="1">
        <v>487</v>
      </c>
      <c r="E142" s="1">
        <v>517</v>
      </c>
      <c r="F142" s="2">
        <v>42500</v>
      </c>
    </row>
    <row r="143" spans="1:6" x14ac:dyDescent="0.35">
      <c r="A143" s="1">
        <v>4319703577</v>
      </c>
      <c r="B143" s="2">
        <v>42501</v>
      </c>
      <c r="C143" s="1">
        <v>1</v>
      </c>
      <c r="D143" s="1">
        <v>529</v>
      </c>
      <c r="E143" s="1">
        <v>558</v>
      </c>
      <c r="F143" s="2">
        <v>42501</v>
      </c>
    </row>
    <row r="144" spans="1:6" x14ac:dyDescent="0.35">
      <c r="A144" s="1">
        <v>4319703577</v>
      </c>
      <c r="B144" s="2">
        <v>42502</v>
      </c>
      <c r="C144" s="1">
        <v>1</v>
      </c>
      <c r="D144" s="1">
        <v>302</v>
      </c>
      <c r="E144" s="1">
        <v>321</v>
      </c>
      <c r="F144" s="2">
        <v>42502</v>
      </c>
    </row>
    <row r="145" spans="1:6" x14ac:dyDescent="0.35">
      <c r="A145" s="1">
        <v>4388161847</v>
      </c>
      <c r="B145" s="2">
        <v>42475</v>
      </c>
      <c r="C145" s="1">
        <v>1</v>
      </c>
      <c r="D145" s="1">
        <v>499</v>
      </c>
      <c r="E145" s="1">
        <v>526</v>
      </c>
      <c r="F145" s="2">
        <v>42475</v>
      </c>
    </row>
    <row r="146" spans="1:6" x14ac:dyDescent="0.35">
      <c r="A146" s="1">
        <v>4388161847</v>
      </c>
      <c r="B146" s="2">
        <v>42476</v>
      </c>
      <c r="C146" s="1">
        <v>2</v>
      </c>
      <c r="D146" s="1">
        <v>426</v>
      </c>
      <c r="E146" s="1">
        <v>448</v>
      </c>
      <c r="F146" s="2">
        <v>42476</v>
      </c>
    </row>
    <row r="147" spans="1:6" x14ac:dyDescent="0.35">
      <c r="A147" s="1">
        <v>4388161847</v>
      </c>
      <c r="B147" s="2">
        <v>42477</v>
      </c>
      <c r="C147" s="1">
        <v>2</v>
      </c>
      <c r="D147" s="1">
        <v>619</v>
      </c>
      <c r="E147" s="1">
        <v>641</v>
      </c>
      <c r="F147" s="2">
        <v>42477</v>
      </c>
    </row>
    <row r="148" spans="1:6" x14ac:dyDescent="0.35">
      <c r="A148" s="1">
        <v>4388161847</v>
      </c>
      <c r="B148" s="2">
        <v>42478</v>
      </c>
      <c r="C148" s="1">
        <v>1</v>
      </c>
      <c r="D148" s="1">
        <v>99</v>
      </c>
      <c r="E148" s="1">
        <v>104</v>
      </c>
      <c r="F148" s="2">
        <v>42478</v>
      </c>
    </row>
    <row r="149" spans="1:6" x14ac:dyDescent="0.35">
      <c r="A149" s="1">
        <v>4388161847</v>
      </c>
      <c r="B149" s="2">
        <v>42479</v>
      </c>
      <c r="C149" s="1">
        <v>1</v>
      </c>
      <c r="D149" s="1">
        <v>329</v>
      </c>
      <c r="E149" s="1">
        <v>338</v>
      </c>
      <c r="F149" s="2">
        <v>42479</v>
      </c>
    </row>
    <row r="150" spans="1:6" x14ac:dyDescent="0.35">
      <c r="A150" s="1">
        <v>4388161847</v>
      </c>
      <c r="B150" s="2">
        <v>42480</v>
      </c>
      <c r="C150" s="1">
        <v>1</v>
      </c>
      <c r="D150" s="1">
        <v>421</v>
      </c>
      <c r="E150" s="1">
        <v>451</v>
      </c>
      <c r="F150" s="2">
        <v>42480</v>
      </c>
    </row>
    <row r="151" spans="1:6" x14ac:dyDescent="0.35">
      <c r="A151" s="1">
        <v>4388161847</v>
      </c>
      <c r="B151" s="2">
        <v>42481</v>
      </c>
      <c r="C151" s="1">
        <v>1</v>
      </c>
      <c r="D151" s="1">
        <v>442</v>
      </c>
      <c r="E151" s="1">
        <v>458</v>
      </c>
      <c r="F151" s="2">
        <v>42481</v>
      </c>
    </row>
    <row r="152" spans="1:6" x14ac:dyDescent="0.35">
      <c r="A152" s="1">
        <v>4388161847</v>
      </c>
      <c r="B152" s="2">
        <v>42482</v>
      </c>
      <c r="C152" s="1">
        <v>1</v>
      </c>
      <c r="D152" s="1">
        <v>82</v>
      </c>
      <c r="E152" s="1">
        <v>85</v>
      </c>
      <c r="F152" s="2">
        <v>42482</v>
      </c>
    </row>
    <row r="153" spans="1:6" x14ac:dyDescent="0.35">
      <c r="A153" s="1">
        <v>4388161847</v>
      </c>
      <c r="B153" s="2">
        <v>42483</v>
      </c>
      <c r="C153" s="1">
        <v>1</v>
      </c>
      <c r="D153" s="1">
        <v>478</v>
      </c>
      <c r="E153" s="1">
        <v>501</v>
      </c>
      <c r="F153" s="2">
        <v>42483</v>
      </c>
    </row>
    <row r="154" spans="1:6" x14ac:dyDescent="0.35">
      <c r="A154" s="1">
        <v>4388161847</v>
      </c>
      <c r="B154" s="2">
        <v>42484</v>
      </c>
      <c r="C154" s="1">
        <v>3</v>
      </c>
      <c r="D154" s="1">
        <v>552</v>
      </c>
      <c r="E154" s="1">
        <v>595</v>
      </c>
      <c r="F154" s="2">
        <v>42484</v>
      </c>
    </row>
    <row r="155" spans="1:6" x14ac:dyDescent="0.35">
      <c r="A155" s="1">
        <v>4388161847</v>
      </c>
      <c r="B155" s="2">
        <v>42486</v>
      </c>
      <c r="C155" s="1">
        <v>1</v>
      </c>
      <c r="D155" s="1">
        <v>319</v>
      </c>
      <c r="E155" s="1">
        <v>346</v>
      </c>
      <c r="F155" s="2">
        <v>42486</v>
      </c>
    </row>
    <row r="156" spans="1:6" x14ac:dyDescent="0.35">
      <c r="A156" s="1">
        <v>4388161847</v>
      </c>
      <c r="B156" s="2">
        <v>42487</v>
      </c>
      <c r="C156" s="1">
        <v>1</v>
      </c>
      <c r="D156" s="1">
        <v>439</v>
      </c>
      <c r="E156" s="1">
        <v>500</v>
      </c>
      <c r="F156" s="2">
        <v>42487</v>
      </c>
    </row>
    <row r="157" spans="1:6" x14ac:dyDescent="0.35">
      <c r="A157" s="1">
        <v>4388161847</v>
      </c>
      <c r="B157" s="2">
        <v>42488</v>
      </c>
      <c r="C157" s="1">
        <v>1</v>
      </c>
      <c r="D157" s="1">
        <v>428</v>
      </c>
      <c r="E157" s="1">
        <v>458</v>
      </c>
      <c r="F157" s="2">
        <v>42488</v>
      </c>
    </row>
    <row r="158" spans="1:6" x14ac:dyDescent="0.35">
      <c r="A158" s="1">
        <v>4388161847</v>
      </c>
      <c r="B158" s="2">
        <v>42490</v>
      </c>
      <c r="C158" s="1">
        <v>2</v>
      </c>
      <c r="D158" s="1">
        <v>409</v>
      </c>
      <c r="E158" s="1">
        <v>430</v>
      </c>
      <c r="F158" s="2">
        <v>42490</v>
      </c>
    </row>
    <row r="159" spans="1:6" x14ac:dyDescent="0.35">
      <c r="A159" s="1">
        <v>4388161847</v>
      </c>
      <c r="B159" s="2">
        <v>42491</v>
      </c>
      <c r="C159" s="1">
        <v>1</v>
      </c>
      <c r="D159" s="1">
        <v>547</v>
      </c>
      <c r="E159" s="1">
        <v>597</v>
      </c>
      <c r="F159" s="2">
        <v>42491</v>
      </c>
    </row>
    <row r="160" spans="1:6" x14ac:dyDescent="0.35">
      <c r="A160" s="1">
        <v>4388161847</v>
      </c>
      <c r="B160" s="2">
        <v>42492</v>
      </c>
      <c r="C160" s="1">
        <v>2</v>
      </c>
      <c r="D160" s="1">
        <v>368</v>
      </c>
      <c r="E160" s="1">
        <v>376</v>
      </c>
      <c r="F160" s="2">
        <v>42492</v>
      </c>
    </row>
    <row r="161" spans="1:6" x14ac:dyDescent="0.35">
      <c r="A161" s="1">
        <v>4388161847</v>
      </c>
      <c r="B161" s="2">
        <v>42494</v>
      </c>
      <c r="C161" s="1">
        <v>1</v>
      </c>
      <c r="D161" s="1">
        <v>390</v>
      </c>
      <c r="E161" s="1">
        <v>414</v>
      </c>
      <c r="F161" s="2">
        <v>42494</v>
      </c>
    </row>
    <row r="162" spans="1:6" x14ac:dyDescent="0.35">
      <c r="A162" s="1">
        <v>4388161847</v>
      </c>
      <c r="B162" s="2">
        <v>42495</v>
      </c>
      <c r="C162" s="1">
        <v>1</v>
      </c>
      <c r="D162" s="1">
        <v>471</v>
      </c>
      <c r="E162" s="1">
        <v>495</v>
      </c>
      <c r="F162" s="2">
        <v>42495</v>
      </c>
    </row>
    <row r="163" spans="1:6" x14ac:dyDescent="0.35">
      <c r="A163" s="1">
        <v>4388161847</v>
      </c>
      <c r="B163" s="2">
        <v>42497</v>
      </c>
      <c r="C163" s="1">
        <v>1</v>
      </c>
      <c r="D163" s="1">
        <v>472</v>
      </c>
      <c r="E163" s="1">
        <v>496</v>
      </c>
      <c r="F163" s="2">
        <v>42497</v>
      </c>
    </row>
    <row r="164" spans="1:6" x14ac:dyDescent="0.35">
      <c r="A164" s="1">
        <v>4388161847</v>
      </c>
      <c r="B164" s="2">
        <v>42498</v>
      </c>
      <c r="C164" s="1">
        <v>2</v>
      </c>
      <c r="D164" s="1">
        <v>529</v>
      </c>
      <c r="E164" s="1">
        <v>541</v>
      </c>
      <c r="F164" s="2">
        <v>42498</v>
      </c>
    </row>
    <row r="165" spans="1:6" x14ac:dyDescent="0.35">
      <c r="A165" s="1">
        <v>4388161847</v>
      </c>
      <c r="B165" s="2">
        <v>42499</v>
      </c>
      <c r="C165" s="1">
        <v>1</v>
      </c>
      <c r="D165" s="1">
        <v>62</v>
      </c>
      <c r="E165" s="1">
        <v>65</v>
      </c>
      <c r="F165" s="2">
        <v>42499</v>
      </c>
    </row>
    <row r="166" spans="1:6" x14ac:dyDescent="0.35">
      <c r="A166" s="1">
        <v>4388161847</v>
      </c>
      <c r="B166" s="2">
        <v>42500</v>
      </c>
      <c r="C166" s="1">
        <v>1</v>
      </c>
      <c r="D166" s="1">
        <v>354</v>
      </c>
      <c r="E166" s="1">
        <v>375</v>
      </c>
      <c r="F166" s="2">
        <v>42500</v>
      </c>
    </row>
    <row r="167" spans="1:6" x14ac:dyDescent="0.35">
      <c r="A167" s="1">
        <v>4388161847</v>
      </c>
      <c r="B167" s="2">
        <v>42501</v>
      </c>
      <c r="C167" s="1">
        <v>1</v>
      </c>
      <c r="D167" s="1">
        <v>469</v>
      </c>
      <c r="E167" s="1">
        <v>494</v>
      </c>
      <c r="F167" s="2">
        <v>42501</v>
      </c>
    </row>
    <row r="168" spans="1:6" x14ac:dyDescent="0.35">
      <c r="A168" s="1">
        <v>4445114986</v>
      </c>
      <c r="B168" s="2">
        <v>42472</v>
      </c>
      <c r="C168" s="1">
        <v>2</v>
      </c>
      <c r="D168" s="1">
        <v>429</v>
      </c>
      <c r="E168" s="1">
        <v>457</v>
      </c>
      <c r="F168" s="2">
        <v>42472</v>
      </c>
    </row>
    <row r="169" spans="1:6" x14ac:dyDescent="0.35">
      <c r="A169" s="1">
        <v>4445114986</v>
      </c>
      <c r="B169" s="2">
        <v>42473</v>
      </c>
      <c r="C169" s="1">
        <v>2</v>
      </c>
      <c r="D169" s="1">
        <v>370</v>
      </c>
      <c r="E169" s="1">
        <v>406</v>
      </c>
      <c r="F169" s="2">
        <v>42473</v>
      </c>
    </row>
    <row r="170" spans="1:6" x14ac:dyDescent="0.35">
      <c r="A170" s="1">
        <v>4445114986</v>
      </c>
      <c r="B170" s="2">
        <v>42474</v>
      </c>
      <c r="C170" s="1">
        <v>1</v>
      </c>
      <c r="D170" s="1">
        <v>441</v>
      </c>
      <c r="E170" s="1">
        <v>492</v>
      </c>
      <c r="F170" s="2">
        <v>42474</v>
      </c>
    </row>
    <row r="171" spans="1:6" x14ac:dyDescent="0.35">
      <c r="A171" s="1">
        <v>4445114986</v>
      </c>
      <c r="B171" s="2">
        <v>42475</v>
      </c>
      <c r="C171" s="1">
        <v>2</v>
      </c>
      <c r="D171" s="1">
        <v>337</v>
      </c>
      <c r="E171" s="1">
        <v>379</v>
      </c>
      <c r="F171" s="2">
        <v>42475</v>
      </c>
    </row>
    <row r="172" spans="1:6" x14ac:dyDescent="0.35">
      <c r="A172" s="1">
        <v>4445114986</v>
      </c>
      <c r="B172" s="2">
        <v>42476</v>
      </c>
      <c r="C172" s="1">
        <v>1</v>
      </c>
      <c r="D172" s="1">
        <v>462</v>
      </c>
      <c r="E172" s="1">
        <v>499</v>
      </c>
      <c r="F172" s="2">
        <v>42476</v>
      </c>
    </row>
    <row r="173" spans="1:6" x14ac:dyDescent="0.35">
      <c r="A173" s="1">
        <v>4445114986</v>
      </c>
      <c r="B173" s="2">
        <v>42477</v>
      </c>
      <c r="C173" s="1">
        <v>1</v>
      </c>
      <c r="D173" s="1">
        <v>98</v>
      </c>
      <c r="E173" s="1">
        <v>107</v>
      </c>
      <c r="F173" s="2">
        <v>42477</v>
      </c>
    </row>
    <row r="174" spans="1:6" x14ac:dyDescent="0.35">
      <c r="A174" s="1">
        <v>4445114986</v>
      </c>
      <c r="B174" s="2">
        <v>42479</v>
      </c>
      <c r="C174" s="1">
        <v>2</v>
      </c>
      <c r="D174" s="1">
        <v>388</v>
      </c>
      <c r="E174" s="1">
        <v>424</v>
      </c>
      <c r="F174" s="2">
        <v>42479</v>
      </c>
    </row>
    <row r="175" spans="1:6" x14ac:dyDescent="0.35">
      <c r="A175" s="1">
        <v>4445114986</v>
      </c>
      <c r="B175" s="2">
        <v>42480</v>
      </c>
      <c r="C175" s="1">
        <v>1</v>
      </c>
      <c r="D175" s="1">
        <v>439</v>
      </c>
      <c r="E175" s="1">
        <v>462</v>
      </c>
      <c r="F175" s="2">
        <v>42480</v>
      </c>
    </row>
    <row r="176" spans="1:6" x14ac:dyDescent="0.35">
      <c r="A176" s="1">
        <v>4445114986</v>
      </c>
      <c r="B176" s="2">
        <v>42481</v>
      </c>
      <c r="C176" s="1">
        <v>1</v>
      </c>
      <c r="D176" s="1">
        <v>436</v>
      </c>
      <c r="E176" s="1">
        <v>469</v>
      </c>
      <c r="F176" s="2">
        <v>42481</v>
      </c>
    </row>
    <row r="177" spans="1:6" x14ac:dyDescent="0.35">
      <c r="A177" s="1">
        <v>4445114986</v>
      </c>
      <c r="B177" s="2">
        <v>42482</v>
      </c>
      <c r="C177" s="1">
        <v>1</v>
      </c>
      <c r="D177" s="1">
        <v>388</v>
      </c>
      <c r="E177" s="1">
        <v>417</v>
      </c>
      <c r="F177" s="2">
        <v>42482</v>
      </c>
    </row>
    <row r="178" spans="1:6" x14ac:dyDescent="0.35">
      <c r="A178" s="1">
        <v>4445114986</v>
      </c>
      <c r="B178" s="2">
        <v>42485</v>
      </c>
      <c r="C178" s="1">
        <v>1</v>
      </c>
      <c r="D178" s="1">
        <v>328</v>
      </c>
      <c r="E178" s="1">
        <v>345</v>
      </c>
      <c r="F178" s="2">
        <v>42485</v>
      </c>
    </row>
    <row r="179" spans="1:6" x14ac:dyDescent="0.35">
      <c r="A179" s="1">
        <v>4445114986</v>
      </c>
      <c r="B179" s="2">
        <v>42486</v>
      </c>
      <c r="C179" s="1">
        <v>2</v>
      </c>
      <c r="D179" s="1">
        <v>353</v>
      </c>
      <c r="E179" s="1">
        <v>391</v>
      </c>
      <c r="F179" s="2">
        <v>42486</v>
      </c>
    </row>
    <row r="180" spans="1:6" x14ac:dyDescent="0.35">
      <c r="A180" s="1">
        <v>4445114986</v>
      </c>
      <c r="B180" s="2">
        <v>42487</v>
      </c>
      <c r="C180" s="1">
        <v>1</v>
      </c>
      <c r="D180" s="1">
        <v>332</v>
      </c>
      <c r="E180" s="1">
        <v>374</v>
      </c>
      <c r="F180" s="2">
        <v>42487</v>
      </c>
    </row>
    <row r="181" spans="1:6" x14ac:dyDescent="0.35">
      <c r="A181" s="1">
        <v>4445114986</v>
      </c>
      <c r="B181" s="2">
        <v>42488</v>
      </c>
      <c r="C181" s="1">
        <v>1</v>
      </c>
      <c r="D181" s="1">
        <v>419</v>
      </c>
      <c r="E181" s="1">
        <v>442</v>
      </c>
      <c r="F181" s="2">
        <v>42488</v>
      </c>
    </row>
    <row r="182" spans="1:6" x14ac:dyDescent="0.35">
      <c r="A182" s="1">
        <v>4445114986</v>
      </c>
      <c r="B182" s="2">
        <v>42489</v>
      </c>
      <c r="C182" s="1">
        <v>1</v>
      </c>
      <c r="D182" s="1">
        <v>106</v>
      </c>
      <c r="E182" s="1">
        <v>108</v>
      </c>
      <c r="F182" s="2">
        <v>42489</v>
      </c>
    </row>
    <row r="183" spans="1:6" x14ac:dyDescent="0.35">
      <c r="A183" s="1">
        <v>4445114986</v>
      </c>
      <c r="B183" s="2">
        <v>42490</v>
      </c>
      <c r="C183" s="1">
        <v>1</v>
      </c>
      <c r="D183" s="1">
        <v>322</v>
      </c>
      <c r="E183" s="1">
        <v>353</v>
      </c>
      <c r="F183" s="2">
        <v>42490</v>
      </c>
    </row>
    <row r="184" spans="1:6" x14ac:dyDescent="0.35">
      <c r="A184" s="1">
        <v>4445114986</v>
      </c>
      <c r="B184" s="2">
        <v>42491</v>
      </c>
      <c r="C184" s="1">
        <v>2</v>
      </c>
      <c r="D184" s="1">
        <v>439</v>
      </c>
      <c r="E184" s="1">
        <v>459</v>
      </c>
      <c r="F184" s="2">
        <v>42491</v>
      </c>
    </row>
    <row r="185" spans="1:6" x14ac:dyDescent="0.35">
      <c r="A185" s="1">
        <v>4445114986</v>
      </c>
      <c r="B185" s="2">
        <v>42492</v>
      </c>
      <c r="C185" s="1">
        <v>1</v>
      </c>
      <c r="D185" s="1">
        <v>502</v>
      </c>
      <c r="E185" s="1">
        <v>542</v>
      </c>
      <c r="F185" s="2">
        <v>42492</v>
      </c>
    </row>
    <row r="186" spans="1:6" x14ac:dyDescent="0.35">
      <c r="A186" s="1">
        <v>4445114986</v>
      </c>
      <c r="B186" s="2">
        <v>42493</v>
      </c>
      <c r="C186" s="1">
        <v>2</v>
      </c>
      <c r="D186" s="1">
        <v>417</v>
      </c>
      <c r="E186" s="1">
        <v>450</v>
      </c>
      <c r="F186" s="2">
        <v>42493</v>
      </c>
    </row>
    <row r="187" spans="1:6" x14ac:dyDescent="0.35">
      <c r="A187" s="1">
        <v>4445114986</v>
      </c>
      <c r="B187" s="2">
        <v>42494</v>
      </c>
      <c r="C187" s="1">
        <v>2</v>
      </c>
      <c r="D187" s="1">
        <v>337</v>
      </c>
      <c r="E187" s="1">
        <v>363</v>
      </c>
      <c r="F187" s="2">
        <v>42494</v>
      </c>
    </row>
    <row r="188" spans="1:6" x14ac:dyDescent="0.35">
      <c r="A188" s="1">
        <v>4445114986</v>
      </c>
      <c r="B188" s="2">
        <v>42495</v>
      </c>
      <c r="C188" s="1">
        <v>2</v>
      </c>
      <c r="D188" s="1">
        <v>462</v>
      </c>
      <c r="E188" s="1">
        <v>513</v>
      </c>
      <c r="F188" s="2">
        <v>42495</v>
      </c>
    </row>
    <row r="189" spans="1:6" x14ac:dyDescent="0.35">
      <c r="A189" s="1">
        <v>4445114986</v>
      </c>
      <c r="B189" s="2">
        <v>42496</v>
      </c>
      <c r="C189" s="1">
        <v>2</v>
      </c>
      <c r="D189" s="1">
        <v>374</v>
      </c>
      <c r="E189" s="1">
        <v>402</v>
      </c>
      <c r="F189" s="2">
        <v>42496</v>
      </c>
    </row>
    <row r="190" spans="1:6" x14ac:dyDescent="0.35">
      <c r="A190" s="1">
        <v>4445114986</v>
      </c>
      <c r="B190" s="2">
        <v>42497</v>
      </c>
      <c r="C190" s="1">
        <v>2</v>
      </c>
      <c r="D190" s="1">
        <v>401</v>
      </c>
      <c r="E190" s="1">
        <v>436</v>
      </c>
      <c r="F190" s="2">
        <v>42497</v>
      </c>
    </row>
    <row r="191" spans="1:6" x14ac:dyDescent="0.35">
      <c r="A191" s="1">
        <v>4445114986</v>
      </c>
      <c r="B191" s="2">
        <v>42498</v>
      </c>
      <c r="C191" s="1">
        <v>1</v>
      </c>
      <c r="D191" s="1">
        <v>361</v>
      </c>
      <c r="E191" s="1">
        <v>391</v>
      </c>
      <c r="F191" s="2">
        <v>42498</v>
      </c>
    </row>
    <row r="192" spans="1:6" x14ac:dyDescent="0.35">
      <c r="A192" s="1">
        <v>4445114986</v>
      </c>
      <c r="B192" s="2">
        <v>42499</v>
      </c>
      <c r="C192" s="1">
        <v>1</v>
      </c>
      <c r="D192" s="1">
        <v>457</v>
      </c>
      <c r="E192" s="1">
        <v>533</v>
      </c>
      <c r="F192" s="2">
        <v>42499</v>
      </c>
    </row>
    <row r="193" spans="1:6" x14ac:dyDescent="0.35">
      <c r="A193" s="1">
        <v>4445114986</v>
      </c>
      <c r="B193" s="2">
        <v>42500</v>
      </c>
      <c r="C193" s="1">
        <v>1</v>
      </c>
      <c r="D193" s="1">
        <v>405</v>
      </c>
      <c r="E193" s="1">
        <v>426</v>
      </c>
      <c r="F193" s="2">
        <v>42500</v>
      </c>
    </row>
    <row r="194" spans="1:6" x14ac:dyDescent="0.35">
      <c r="A194" s="1">
        <v>4445114986</v>
      </c>
      <c r="B194" s="2">
        <v>42501</v>
      </c>
      <c r="C194" s="1">
        <v>1</v>
      </c>
      <c r="D194" s="1">
        <v>499</v>
      </c>
      <c r="E194" s="1">
        <v>530</v>
      </c>
      <c r="F194" s="2">
        <v>42501</v>
      </c>
    </row>
    <row r="195" spans="1:6" x14ac:dyDescent="0.35">
      <c r="A195" s="1">
        <v>4445114986</v>
      </c>
      <c r="B195" s="2">
        <v>42502</v>
      </c>
      <c r="C195" s="1">
        <v>1</v>
      </c>
      <c r="D195" s="1">
        <v>483</v>
      </c>
      <c r="E195" s="1">
        <v>501</v>
      </c>
      <c r="F195" s="2">
        <v>42502</v>
      </c>
    </row>
    <row r="196" spans="1:6" x14ac:dyDescent="0.35">
      <c r="A196" s="1">
        <v>4558609924</v>
      </c>
      <c r="B196" s="2">
        <v>42481</v>
      </c>
      <c r="C196" s="1">
        <v>1</v>
      </c>
      <c r="D196" s="1">
        <v>126</v>
      </c>
      <c r="E196" s="1">
        <v>137</v>
      </c>
      <c r="F196" s="2">
        <v>42481</v>
      </c>
    </row>
    <row r="197" spans="1:6" x14ac:dyDescent="0.35">
      <c r="A197" s="1">
        <v>4558609924</v>
      </c>
      <c r="B197" s="2">
        <v>42486</v>
      </c>
      <c r="C197" s="1">
        <v>1</v>
      </c>
      <c r="D197" s="1">
        <v>103</v>
      </c>
      <c r="E197" s="1">
        <v>121</v>
      </c>
      <c r="F197" s="2">
        <v>42486</v>
      </c>
    </row>
    <row r="198" spans="1:6" x14ac:dyDescent="0.35">
      <c r="A198" s="1">
        <v>4558609924</v>
      </c>
      <c r="B198" s="2">
        <v>42489</v>
      </c>
      <c r="C198" s="1">
        <v>1</v>
      </c>
      <c r="D198" s="1">
        <v>171</v>
      </c>
      <c r="E198" s="1">
        <v>179</v>
      </c>
      <c r="F198" s="2">
        <v>42489</v>
      </c>
    </row>
    <row r="199" spans="1:6" x14ac:dyDescent="0.35">
      <c r="A199" s="1">
        <v>4558609924</v>
      </c>
      <c r="B199" s="2">
        <v>42491</v>
      </c>
      <c r="C199" s="1">
        <v>1</v>
      </c>
      <c r="D199" s="1">
        <v>115</v>
      </c>
      <c r="E199" s="1">
        <v>129</v>
      </c>
      <c r="F199" s="2">
        <v>42491</v>
      </c>
    </row>
    <row r="200" spans="1:6" x14ac:dyDescent="0.35">
      <c r="A200" s="1">
        <v>4558609924</v>
      </c>
      <c r="B200" s="2">
        <v>42498</v>
      </c>
      <c r="C200" s="1">
        <v>1</v>
      </c>
      <c r="D200" s="1">
        <v>123</v>
      </c>
      <c r="E200" s="1">
        <v>134</v>
      </c>
      <c r="F200" s="2">
        <v>42498</v>
      </c>
    </row>
    <row r="201" spans="1:6" x14ac:dyDescent="0.35">
      <c r="A201" s="1">
        <v>4702921684</v>
      </c>
      <c r="B201" s="2">
        <v>42472</v>
      </c>
      <c r="C201" s="1">
        <v>1</v>
      </c>
      <c r="D201" s="1">
        <v>425</v>
      </c>
      <c r="E201" s="1">
        <v>439</v>
      </c>
      <c r="F201" s="2">
        <v>42472</v>
      </c>
    </row>
    <row r="202" spans="1:6" x14ac:dyDescent="0.35">
      <c r="A202" s="1">
        <v>4702921684</v>
      </c>
      <c r="B202" s="2">
        <v>42473</v>
      </c>
      <c r="C202" s="1">
        <v>2</v>
      </c>
      <c r="D202" s="1">
        <v>400</v>
      </c>
      <c r="E202" s="1">
        <v>430</v>
      </c>
      <c r="F202" s="2">
        <v>42473</v>
      </c>
    </row>
    <row r="203" spans="1:6" x14ac:dyDescent="0.35">
      <c r="A203" s="1">
        <v>4702921684</v>
      </c>
      <c r="B203" s="2">
        <v>42474</v>
      </c>
      <c r="C203" s="1">
        <v>1</v>
      </c>
      <c r="D203" s="1">
        <v>384</v>
      </c>
      <c r="E203" s="1">
        <v>415</v>
      </c>
      <c r="F203" s="2">
        <v>42474</v>
      </c>
    </row>
    <row r="204" spans="1:6" x14ac:dyDescent="0.35">
      <c r="A204" s="1">
        <v>4702921684</v>
      </c>
      <c r="B204" s="2">
        <v>42475</v>
      </c>
      <c r="C204" s="1">
        <v>1</v>
      </c>
      <c r="D204" s="1">
        <v>253</v>
      </c>
      <c r="E204" s="1">
        <v>257</v>
      </c>
      <c r="F204" s="2">
        <v>42475</v>
      </c>
    </row>
    <row r="205" spans="1:6" x14ac:dyDescent="0.35">
      <c r="A205" s="1">
        <v>4702921684</v>
      </c>
      <c r="B205" s="2">
        <v>42476</v>
      </c>
      <c r="C205" s="1">
        <v>2</v>
      </c>
      <c r="D205" s="1">
        <v>382</v>
      </c>
      <c r="E205" s="1">
        <v>406</v>
      </c>
      <c r="F205" s="2">
        <v>42476</v>
      </c>
    </row>
    <row r="206" spans="1:6" x14ac:dyDescent="0.35">
      <c r="A206" s="1">
        <v>4702921684</v>
      </c>
      <c r="B206" s="2">
        <v>42477</v>
      </c>
      <c r="C206" s="1">
        <v>1</v>
      </c>
      <c r="D206" s="1">
        <v>591</v>
      </c>
      <c r="E206" s="1">
        <v>612</v>
      </c>
      <c r="F206" s="2">
        <v>42477</v>
      </c>
    </row>
    <row r="207" spans="1:6" x14ac:dyDescent="0.35">
      <c r="A207" s="1">
        <v>4702921684</v>
      </c>
      <c r="B207" s="2">
        <v>42478</v>
      </c>
      <c r="C207" s="1">
        <v>1</v>
      </c>
      <c r="D207" s="1">
        <v>293</v>
      </c>
      <c r="E207" s="1">
        <v>312</v>
      </c>
      <c r="F207" s="2">
        <v>42478</v>
      </c>
    </row>
    <row r="208" spans="1:6" x14ac:dyDescent="0.35">
      <c r="A208" s="1">
        <v>4702921684</v>
      </c>
      <c r="B208" s="2">
        <v>42479</v>
      </c>
      <c r="C208" s="1">
        <v>1</v>
      </c>
      <c r="D208" s="1">
        <v>457</v>
      </c>
      <c r="E208" s="1">
        <v>487</v>
      </c>
      <c r="F208" s="2">
        <v>42479</v>
      </c>
    </row>
    <row r="209" spans="1:6" x14ac:dyDescent="0.35">
      <c r="A209" s="1">
        <v>4702921684</v>
      </c>
      <c r="B209" s="2">
        <v>42480</v>
      </c>
      <c r="C209" s="1">
        <v>1</v>
      </c>
      <c r="D209" s="1">
        <v>454</v>
      </c>
      <c r="E209" s="1">
        <v>468</v>
      </c>
      <c r="F209" s="2">
        <v>42480</v>
      </c>
    </row>
    <row r="210" spans="1:6" x14ac:dyDescent="0.35">
      <c r="A210" s="1">
        <v>4702921684</v>
      </c>
      <c r="B210" s="2">
        <v>42481</v>
      </c>
      <c r="C210" s="1">
        <v>1</v>
      </c>
      <c r="D210" s="1">
        <v>425</v>
      </c>
      <c r="E210" s="1">
        <v>434</v>
      </c>
      <c r="F210" s="2">
        <v>42481</v>
      </c>
    </row>
    <row r="211" spans="1:6" x14ac:dyDescent="0.35">
      <c r="A211" s="1">
        <v>4702921684</v>
      </c>
      <c r="B211" s="2">
        <v>42483</v>
      </c>
      <c r="C211" s="1">
        <v>1</v>
      </c>
      <c r="D211" s="1">
        <v>465</v>
      </c>
      <c r="E211" s="1">
        <v>475</v>
      </c>
      <c r="F211" s="2">
        <v>42483</v>
      </c>
    </row>
    <row r="212" spans="1:6" x14ac:dyDescent="0.35">
      <c r="A212" s="1">
        <v>4702921684</v>
      </c>
      <c r="B212" s="2">
        <v>42484</v>
      </c>
      <c r="C212" s="1">
        <v>1</v>
      </c>
      <c r="D212" s="1">
        <v>480</v>
      </c>
      <c r="E212" s="1">
        <v>506</v>
      </c>
      <c r="F212" s="2">
        <v>42484</v>
      </c>
    </row>
    <row r="213" spans="1:6" x14ac:dyDescent="0.35">
      <c r="A213" s="1">
        <v>4702921684</v>
      </c>
      <c r="B213" s="2">
        <v>42485</v>
      </c>
      <c r="C213" s="1">
        <v>1</v>
      </c>
      <c r="D213" s="1">
        <v>370</v>
      </c>
      <c r="E213" s="1">
        <v>380</v>
      </c>
      <c r="F213" s="2">
        <v>42485</v>
      </c>
    </row>
    <row r="214" spans="1:6" x14ac:dyDescent="0.35">
      <c r="A214" s="1">
        <v>4702921684</v>
      </c>
      <c r="B214" s="2">
        <v>42486</v>
      </c>
      <c r="C214" s="1">
        <v>1</v>
      </c>
      <c r="D214" s="1">
        <v>421</v>
      </c>
      <c r="E214" s="1">
        <v>429</v>
      </c>
      <c r="F214" s="2">
        <v>42486</v>
      </c>
    </row>
    <row r="215" spans="1:6" x14ac:dyDescent="0.35">
      <c r="A215" s="1">
        <v>4702921684</v>
      </c>
      <c r="B215" s="2">
        <v>42487</v>
      </c>
      <c r="C215" s="1">
        <v>1</v>
      </c>
      <c r="D215" s="1">
        <v>432</v>
      </c>
      <c r="E215" s="1">
        <v>449</v>
      </c>
      <c r="F215" s="2">
        <v>42487</v>
      </c>
    </row>
    <row r="216" spans="1:6" x14ac:dyDescent="0.35">
      <c r="A216" s="1">
        <v>4702921684</v>
      </c>
      <c r="B216" s="2">
        <v>42488</v>
      </c>
      <c r="C216" s="1">
        <v>1</v>
      </c>
      <c r="D216" s="1">
        <v>442</v>
      </c>
      <c r="E216" s="1">
        <v>461</v>
      </c>
      <c r="F216" s="2">
        <v>42488</v>
      </c>
    </row>
    <row r="217" spans="1:6" x14ac:dyDescent="0.35">
      <c r="A217" s="1">
        <v>4702921684</v>
      </c>
      <c r="B217" s="2">
        <v>42489</v>
      </c>
      <c r="C217" s="1">
        <v>1</v>
      </c>
      <c r="D217" s="1">
        <v>433</v>
      </c>
      <c r="E217" s="1">
        <v>447</v>
      </c>
      <c r="F217" s="2">
        <v>42489</v>
      </c>
    </row>
    <row r="218" spans="1:6" x14ac:dyDescent="0.35">
      <c r="A218" s="1">
        <v>4702921684</v>
      </c>
      <c r="B218" s="2">
        <v>42490</v>
      </c>
      <c r="C218" s="1">
        <v>1</v>
      </c>
      <c r="D218" s="1">
        <v>479</v>
      </c>
      <c r="E218" s="1">
        <v>501</v>
      </c>
      <c r="F218" s="2">
        <v>42490</v>
      </c>
    </row>
    <row r="219" spans="1:6" x14ac:dyDescent="0.35">
      <c r="A219" s="1">
        <v>4702921684</v>
      </c>
      <c r="B219" s="2">
        <v>42493</v>
      </c>
      <c r="C219" s="1">
        <v>1</v>
      </c>
      <c r="D219" s="1">
        <v>327</v>
      </c>
      <c r="E219" s="1">
        <v>373</v>
      </c>
      <c r="F219" s="2">
        <v>42493</v>
      </c>
    </row>
    <row r="220" spans="1:6" x14ac:dyDescent="0.35">
      <c r="A220" s="1">
        <v>4702921684</v>
      </c>
      <c r="B220" s="2">
        <v>42494</v>
      </c>
      <c r="C220" s="1">
        <v>1</v>
      </c>
      <c r="D220" s="1">
        <v>412</v>
      </c>
      <c r="E220" s="1">
        <v>434</v>
      </c>
      <c r="F220" s="2">
        <v>42494</v>
      </c>
    </row>
    <row r="221" spans="1:6" x14ac:dyDescent="0.35">
      <c r="A221" s="1">
        <v>4702921684</v>
      </c>
      <c r="B221" s="2">
        <v>42495</v>
      </c>
      <c r="C221" s="1">
        <v>1</v>
      </c>
      <c r="D221" s="1">
        <v>414</v>
      </c>
      <c r="E221" s="1">
        <v>428</v>
      </c>
      <c r="F221" s="2">
        <v>42495</v>
      </c>
    </row>
    <row r="222" spans="1:6" x14ac:dyDescent="0.35">
      <c r="A222" s="1">
        <v>4702921684</v>
      </c>
      <c r="B222" s="2">
        <v>42496</v>
      </c>
      <c r="C222" s="1">
        <v>1</v>
      </c>
      <c r="D222" s="1">
        <v>404</v>
      </c>
      <c r="E222" s="1">
        <v>449</v>
      </c>
      <c r="F222" s="2">
        <v>42496</v>
      </c>
    </row>
    <row r="223" spans="1:6" x14ac:dyDescent="0.35">
      <c r="A223" s="1">
        <v>4702921684</v>
      </c>
      <c r="B223" s="2">
        <v>42497</v>
      </c>
      <c r="C223" s="1">
        <v>1</v>
      </c>
      <c r="D223" s="1">
        <v>520</v>
      </c>
      <c r="E223" s="1">
        <v>543</v>
      </c>
      <c r="F223" s="2">
        <v>42497</v>
      </c>
    </row>
    <row r="224" spans="1:6" x14ac:dyDescent="0.35">
      <c r="A224" s="1">
        <v>4702921684</v>
      </c>
      <c r="B224" s="2">
        <v>42499</v>
      </c>
      <c r="C224" s="1">
        <v>1</v>
      </c>
      <c r="D224" s="1">
        <v>435</v>
      </c>
      <c r="E224" s="1">
        <v>458</v>
      </c>
      <c r="F224" s="2">
        <v>42499</v>
      </c>
    </row>
    <row r="225" spans="1:6" x14ac:dyDescent="0.35">
      <c r="A225" s="1">
        <v>4702921684</v>
      </c>
      <c r="B225" s="2">
        <v>42500</v>
      </c>
      <c r="C225" s="1">
        <v>1</v>
      </c>
      <c r="D225" s="1">
        <v>416</v>
      </c>
      <c r="E225" s="1">
        <v>431</v>
      </c>
      <c r="F225" s="2">
        <v>42500</v>
      </c>
    </row>
    <row r="226" spans="1:6" x14ac:dyDescent="0.35">
      <c r="A226" s="1">
        <v>4702921684</v>
      </c>
      <c r="B226" s="2">
        <v>42501</v>
      </c>
      <c r="C226" s="1">
        <v>1</v>
      </c>
      <c r="D226" s="1">
        <v>354</v>
      </c>
      <c r="E226" s="1">
        <v>366</v>
      </c>
      <c r="F226" s="2">
        <v>42501</v>
      </c>
    </row>
    <row r="227" spans="1:6" x14ac:dyDescent="0.35">
      <c r="A227" s="1">
        <v>4702921684</v>
      </c>
      <c r="B227" s="2">
        <v>42502</v>
      </c>
      <c r="C227" s="1">
        <v>1</v>
      </c>
      <c r="D227" s="1">
        <v>404</v>
      </c>
      <c r="E227" s="1">
        <v>442</v>
      </c>
      <c r="F227" s="2">
        <v>42502</v>
      </c>
    </row>
    <row r="228" spans="1:6" x14ac:dyDescent="0.35">
      <c r="A228" s="1">
        <v>5553957443</v>
      </c>
      <c r="B228" s="2">
        <v>42472</v>
      </c>
      <c r="C228" s="1">
        <v>1</v>
      </c>
      <c r="D228" s="1">
        <v>441</v>
      </c>
      <c r="E228" s="1">
        <v>464</v>
      </c>
      <c r="F228" s="2">
        <v>42472</v>
      </c>
    </row>
    <row r="229" spans="1:6" x14ac:dyDescent="0.35">
      <c r="A229" s="1">
        <v>5553957443</v>
      </c>
      <c r="B229" s="2">
        <v>42473</v>
      </c>
      <c r="C229" s="1">
        <v>2</v>
      </c>
      <c r="D229" s="1">
        <v>455</v>
      </c>
      <c r="E229" s="1">
        <v>488</v>
      </c>
      <c r="F229" s="2">
        <v>42473</v>
      </c>
    </row>
    <row r="230" spans="1:6" x14ac:dyDescent="0.35">
      <c r="A230" s="1">
        <v>5553957443</v>
      </c>
      <c r="B230" s="2">
        <v>42474</v>
      </c>
      <c r="C230" s="1">
        <v>1</v>
      </c>
      <c r="D230" s="1">
        <v>357</v>
      </c>
      <c r="E230" s="1">
        <v>418</v>
      </c>
      <c r="F230" s="2">
        <v>42474</v>
      </c>
    </row>
    <row r="231" spans="1:6" x14ac:dyDescent="0.35">
      <c r="A231" s="1">
        <v>5553957443</v>
      </c>
      <c r="B231" s="2">
        <v>42475</v>
      </c>
      <c r="C231" s="1">
        <v>1</v>
      </c>
      <c r="D231" s="1">
        <v>377</v>
      </c>
      <c r="E231" s="1">
        <v>409</v>
      </c>
      <c r="F231" s="2">
        <v>42475</v>
      </c>
    </row>
    <row r="232" spans="1:6" x14ac:dyDescent="0.35">
      <c r="A232" s="1">
        <v>5553957443</v>
      </c>
      <c r="B232" s="2">
        <v>42476</v>
      </c>
      <c r="C232" s="1">
        <v>2</v>
      </c>
      <c r="D232" s="1">
        <v>651</v>
      </c>
      <c r="E232" s="1">
        <v>686</v>
      </c>
      <c r="F232" s="2">
        <v>42476</v>
      </c>
    </row>
    <row r="233" spans="1:6" x14ac:dyDescent="0.35">
      <c r="A233" s="1">
        <v>5553957443</v>
      </c>
      <c r="B233" s="2">
        <v>42477</v>
      </c>
      <c r="C233" s="1">
        <v>1</v>
      </c>
      <c r="D233" s="1">
        <v>350</v>
      </c>
      <c r="E233" s="1">
        <v>402</v>
      </c>
      <c r="F233" s="2">
        <v>42477</v>
      </c>
    </row>
    <row r="234" spans="1:6" x14ac:dyDescent="0.35">
      <c r="A234" s="1">
        <v>5553957443</v>
      </c>
      <c r="B234" s="2">
        <v>42478</v>
      </c>
      <c r="C234" s="1">
        <v>2</v>
      </c>
      <c r="D234" s="1">
        <v>520</v>
      </c>
      <c r="E234" s="1">
        <v>541</v>
      </c>
      <c r="F234" s="2">
        <v>42478</v>
      </c>
    </row>
    <row r="235" spans="1:6" x14ac:dyDescent="0.35">
      <c r="A235" s="1">
        <v>5553957443</v>
      </c>
      <c r="B235" s="2">
        <v>42479</v>
      </c>
      <c r="C235" s="1">
        <v>1</v>
      </c>
      <c r="D235" s="1">
        <v>357</v>
      </c>
      <c r="E235" s="1">
        <v>410</v>
      </c>
      <c r="F235" s="2">
        <v>42479</v>
      </c>
    </row>
    <row r="236" spans="1:6" x14ac:dyDescent="0.35">
      <c r="A236" s="1">
        <v>5553957443</v>
      </c>
      <c r="B236" s="2">
        <v>42480</v>
      </c>
      <c r="C236" s="1">
        <v>1</v>
      </c>
      <c r="D236" s="1">
        <v>658</v>
      </c>
      <c r="E236" s="1">
        <v>678</v>
      </c>
      <c r="F236" s="2">
        <v>42480</v>
      </c>
    </row>
    <row r="237" spans="1:6" x14ac:dyDescent="0.35">
      <c r="A237" s="1">
        <v>5553957443</v>
      </c>
      <c r="B237" s="2">
        <v>42481</v>
      </c>
      <c r="C237" s="1">
        <v>1</v>
      </c>
      <c r="D237" s="1">
        <v>399</v>
      </c>
      <c r="E237" s="1">
        <v>431</v>
      </c>
      <c r="F237" s="2">
        <v>42481</v>
      </c>
    </row>
    <row r="238" spans="1:6" x14ac:dyDescent="0.35">
      <c r="A238" s="1">
        <v>5553957443</v>
      </c>
      <c r="B238" s="2">
        <v>42482</v>
      </c>
      <c r="C238" s="1">
        <v>1</v>
      </c>
      <c r="D238" s="1">
        <v>322</v>
      </c>
      <c r="E238" s="1">
        <v>353</v>
      </c>
      <c r="F238" s="2">
        <v>42482</v>
      </c>
    </row>
    <row r="239" spans="1:6" x14ac:dyDescent="0.35">
      <c r="A239" s="1">
        <v>5553957443</v>
      </c>
      <c r="B239" s="2">
        <v>42483</v>
      </c>
      <c r="C239" s="1">
        <v>2</v>
      </c>
      <c r="D239" s="1">
        <v>631</v>
      </c>
      <c r="E239" s="1">
        <v>725</v>
      </c>
      <c r="F239" s="2">
        <v>42483</v>
      </c>
    </row>
    <row r="240" spans="1:6" x14ac:dyDescent="0.35">
      <c r="A240" s="1">
        <v>5553957443</v>
      </c>
      <c r="B240" s="2">
        <v>42484</v>
      </c>
      <c r="C240" s="1">
        <v>2</v>
      </c>
      <c r="D240" s="1">
        <v>553</v>
      </c>
      <c r="E240" s="1">
        <v>640</v>
      </c>
      <c r="F240" s="2">
        <v>42484</v>
      </c>
    </row>
    <row r="241" spans="1:6" x14ac:dyDescent="0.35">
      <c r="A241" s="1">
        <v>5553957443</v>
      </c>
      <c r="B241" s="2">
        <v>42485</v>
      </c>
      <c r="C241" s="1">
        <v>1</v>
      </c>
      <c r="D241" s="1">
        <v>433</v>
      </c>
      <c r="E241" s="1">
        <v>468</v>
      </c>
      <c r="F241" s="2">
        <v>42485</v>
      </c>
    </row>
    <row r="242" spans="1:6" x14ac:dyDescent="0.35">
      <c r="A242" s="1">
        <v>5553957443</v>
      </c>
      <c r="B242" s="2">
        <v>42486</v>
      </c>
      <c r="C242" s="1">
        <v>1</v>
      </c>
      <c r="D242" s="1">
        <v>412</v>
      </c>
      <c r="E242" s="1">
        <v>453</v>
      </c>
      <c r="F242" s="2">
        <v>42486</v>
      </c>
    </row>
    <row r="243" spans="1:6" x14ac:dyDescent="0.35">
      <c r="A243" s="1">
        <v>5553957443</v>
      </c>
      <c r="B243" s="2">
        <v>42487</v>
      </c>
      <c r="C243" s="1">
        <v>1</v>
      </c>
      <c r="D243" s="1">
        <v>347</v>
      </c>
      <c r="E243" s="1">
        <v>391</v>
      </c>
      <c r="F243" s="2">
        <v>42487</v>
      </c>
    </row>
    <row r="244" spans="1:6" x14ac:dyDescent="0.35">
      <c r="A244" s="1">
        <v>5553957443</v>
      </c>
      <c r="B244" s="2">
        <v>42488</v>
      </c>
      <c r="C244" s="1">
        <v>1</v>
      </c>
      <c r="D244" s="1">
        <v>421</v>
      </c>
      <c r="E244" s="1">
        <v>457</v>
      </c>
      <c r="F244" s="2">
        <v>42488</v>
      </c>
    </row>
    <row r="245" spans="1:6" x14ac:dyDescent="0.35">
      <c r="A245" s="1">
        <v>5553957443</v>
      </c>
      <c r="B245" s="2">
        <v>42489</v>
      </c>
      <c r="C245" s="1">
        <v>1</v>
      </c>
      <c r="D245" s="1">
        <v>450</v>
      </c>
      <c r="E245" s="1">
        <v>495</v>
      </c>
      <c r="F245" s="2">
        <v>42489</v>
      </c>
    </row>
    <row r="246" spans="1:6" x14ac:dyDescent="0.35">
      <c r="A246" s="1">
        <v>5553957443</v>
      </c>
      <c r="B246" s="2">
        <v>42490</v>
      </c>
      <c r="C246" s="1">
        <v>2</v>
      </c>
      <c r="D246" s="1">
        <v>775</v>
      </c>
      <c r="E246" s="1">
        <v>843</v>
      </c>
      <c r="F246" s="2">
        <v>42490</v>
      </c>
    </row>
    <row r="247" spans="1:6" x14ac:dyDescent="0.35">
      <c r="A247" s="1">
        <v>5553957443</v>
      </c>
      <c r="B247" s="2">
        <v>42491</v>
      </c>
      <c r="C247" s="1">
        <v>2</v>
      </c>
      <c r="D247" s="1">
        <v>622</v>
      </c>
      <c r="E247" s="1">
        <v>686</v>
      </c>
      <c r="F247" s="2">
        <v>42491</v>
      </c>
    </row>
    <row r="248" spans="1:6" x14ac:dyDescent="0.35">
      <c r="A248" s="1">
        <v>5553957443</v>
      </c>
      <c r="B248" s="2">
        <v>42492</v>
      </c>
      <c r="C248" s="1">
        <v>1</v>
      </c>
      <c r="D248" s="1">
        <v>409</v>
      </c>
      <c r="E248" s="1">
        <v>471</v>
      </c>
      <c r="F248" s="2">
        <v>42492</v>
      </c>
    </row>
    <row r="249" spans="1:6" x14ac:dyDescent="0.35">
      <c r="A249" s="1">
        <v>5553957443</v>
      </c>
      <c r="B249" s="2">
        <v>42493</v>
      </c>
      <c r="C249" s="1">
        <v>1</v>
      </c>
      <c r="D249" s="1">
        <v>380</v>
      </c>
      <c r="E249" s="1">
        <v>429</v>
      </c>
      <c r="F249" s="2">
        <v>42493</v>
      </c>
    </row>
    <row r="250" spans="1:6" x14ac:dyDescent="0.35">
      <c r="A250" s="1">
        <v>5553957443</v>
      </c>
      <c r="B250" s="2">
        <v>42494</v>
      </c>
      <c r="C250" s="1">
        <v>1</v>
      </c>
      <c r="D250" s="1">
        <v>447</v>
      </c>
      <c r="E250" s="1">
        <v>470</v>
      </c>
      <c r="F250" s="2">
        <v>42494</v>
      </c>
    </row>
    <row r="251" spans="1:6" x14ac:dyDescent="0.35">
      <c r="A251" s="1">
        <v>5553957443</v>
      </c>
      <c r="B251" s="2">
        <v>42495</v>
      </c>
      <c r="C251" s="1">
        <v>1</v>
      </c>
      <c r="D251" s="1">
        <v>419</v>
      </c>
      <c r="E251" s="1">
        <v>464</v>
      </c>
      <c r="F251" s="2">
        <v>42495</v>
      </c>
    </row>
    <row r="252" spans="1:6" x14ac:dyDescent="0.35">
      <c r="A252" s="1">
        <v>5553957443</v>
      </c>
      <c r="B252" s="2">
        <v>42496</v>
      </c>
      <c r="C252" s="1">
        <v>1</v>
      </c>
      <c r="D252" s="1">
        <v>400</v>
      </c>
      <c r="E252" s="1">
        <v>434</v>
      </c>
      <c r="F252" s="2">
        <v>42496</v>
      </c>
    </row>
    <row r="253" spans="1:6" x14ac:dyDescent="0.35">
      <c r="A253" s="1">
        <v>5553957443</v>
      </c>
      <c r="B253" s="2">
        <v>42497</v>
      </c>
      <c r="C253" s="1">
        <v>1</v>
      </c>
      <c r="D253" s="1">
        <v>442</v>
      </c>
      <c r="E253" s="1">
        <v>470</v>
      </c>
      <c r="F253" s="2">
        <v>42497</v>
      </c>
    </row>
    <row r="254" spans="1:6" x14ac:dyDescent="0.35">
      <c r="A254" s="1">
        <v>5553957443</v>
      </c>
      <c r="B254" s="2">
        <v>42498</v>
      </c>
      <c r="C254" s="1">
        <v>1</v>
      </c>
      <c r="D254" s="1">
        <v>568</v>
      </c>
      <c r="E254" s="1">
        <v>608</v>
      </c>
      <c r="F254" s="2">
        <v>42498</v>
      </c>
    </row>
    <row r="255" spans="1:6" x14ac:dyDescent="0.35">
      <c r="A255" s="1">
        <v>5553957443</v>
      </c>
      <c r="B255" s="2">
        <v>42499</v>
      </c>
      <c r="C255" s="1">
        <v>1</v>
      </c>
      <c r="D255" s="1">
        <v>453</v>
      </c>
      <c r="E255" s="1">
        <v>494</v>
      </c>
      <c r="F255" s="2">
        <v>42499</v>
      </c>
    </row>
    <row r="256" spans="1:6" x14ac:dyDescent="0.35">
      <c r="A256" s="1">
        <v>5553957443</v>
      </c>
      <c r="B256" s="2">
        <v>42500</v>
      </c>
      <c r="C256" s="1">
        <v>1</v>
      </c>
      <c r="D256" s="1">
        <v>418</v>
      </c>
      <c r="E256" s="1">
        <v>443</v>
      </c>
      <c r="F256" s="2">
        <v>42500</v>
      </c>
    </row>
    <row r="257" spans="1:6" x14ac:dyDescent="0.35">
      <c r="A257" s="1">
        <v>5553957443</v>
      </c>
      <c r="B257" s="2">
        <v>42501</v>
      </c>
      <c r="C257" s="1">
        <v>1</v>
      </c>
      <c r="D257" s="1">
        <v>463</v>
      </c>
      <c r="E257" s="1">
        <v>486</v>
      </c>
      <c r="F257" s="2">
        <v>42501</v>
      </c>
    </row>
    <row r="258" spans="1:6" x14ac:dyDescent="0.35">
      <c r="A258" s="1">
        <v>5553957443</v>
      </c>
      <c r="B258" s="2">
        <v>42502</v>
      </c>
      <c r="C258" s="1">
        <v>1</v>
      </c>
      <c r="D258" s="1">
        <v>438</v>
      </c>
      <c r="E258" s="1">
        <v>475</v>
      </c>
      <c r="F258" s="2">
        <v>42502</v>
      </c>
    </row>
    <row r="259" spans="1:6" x14ac:dyDescent="0.35">
      <c r="A259" s="1">
        <v>5577150313</v>
      </c>
      <c r="B259" s="2">
        <v>42472</v>
      </c>
      <c r="C259" s="1">
        <v>1</v>
      </c>
      <c r="D259" s="1">
        <v>419</v>
      </c>
      <c r="E259" s="1">
        <v>438</v>
      </c>
      <c r="F259" s="2">
        <v>42472</v>
      </c>
    </row>
    <row r="260" spans="1:6" x14ac:dyDescent="0.35">
      <c r="A260" s="1">
        <v>5577150313</v>
      </c>
      <c r="B260" s="2">
        <v>42473</v>
      </c>
      <c r="C260" s="1">
        <v>1</v>
      </c>
      <c r="D260" s="1">
        <v>432</v>
      </c>
      <c r="E260" s="1">
        <v>458</v>
      </c>
      <c r="F260" s="2">
        <v>42473</v>
      </c>
    </row>
    <row r="261" spans="1:6" x14ac:dyDescent="0.35">
      <c r="A261" s="1">
        <v>5577150313</v>
      </c>
      <c r="B261" s="2">
        <v>42474</v>
      </c>
      <c r="C261" s="1">
        <v>1</v>
      </c>
      <c r="D261" s="1">
        <v>477</v>
      </c>
      <c r="E261" s="1">
        <v>497</v>
      </c>
      <c r="F261" s="2">
        <v>42474</v>
      </c>
    </row>
    <row r="262" spans="1:6" x14ac:dyDescent="0.35">
      <c r="A262" s="1">
        <v>5577150313</v>
      </c>
      <c r="B262" s="2">
        <v>42475</v>
      </c>
      <c r="C262" s="1">
        <v>1</v>
      </c>
      <c r="D262" s="1">
        <v>392</v>
      </c>
      <c r="E262" s="1">
        <v>413</v>
      </c>
      <c r="F262" s="2">
        <v>42475</v>
      </c>
    </row>
    <row r="263" spans="1:6" x14ac:dyDescent="0.35">
      <c r="A263" s="1">
        <v>5577150313</v>
      </c>
      <c r="B263" s="2">
        <v>42476</v>
      </c>
      <c r="C263" s="1">
        <v>1</v>
      </c>
      <c r="D263" s="1">
        <v>406</v>
      </c>
      <c r="E263" s="1">
        <v>445</v>
      </c>
      <c r="F263" s="2">
        <v>42476</v>
      </c>
    </row>
    <row r="264" spans="1:6" x14ac:dyDescent="0.35">
      <c r="A264" s="1">
        <v>5577150313</v>
      </c>
      <c r="B264" s="2">
        <v>42477</v>
      </c>
      <c r="C264" s="1">
        <v>1</v>
      </c>
      <c r="D264" s="1">
        <v>549</v>
      </c>
      <c r="E264" s="1">
        <v>583</v>
      </c>
      <c r="F264" s="2">
        <v>42477</v>
      </c>
    </row>
    <row r="265" spans="1:6" x14ac:dyDescent="0.35">
      <c r="A265" s="1">
        <v>5577150313</v>
      </c>
      <c r="B265" s="2">
        <v>42478</v>
      </c>
      <c r="C265" s="1">
        <v>1</v>
      </c>
      <c r="D265" s="1">
        <v>527</v>
      </c>
      <c r="E265" s="1">
        <v>553</v>
      </c>
      <c r="F265" s="2">
        <v>42478</v>
      </c>
    </row>
    <row r="266" spans="1:6" x14ac:dyDescent="0.35">
      <c r="A266" s="1">
        <v>5577150313</v>
      </c>
      <c r="B266" s="2">
        <v>42479</v>
      </c>
      <c r="C266" s="1">
        <v>1</v>
      </c>
      <c r="D266" s="1">
        <v>449</v>
      </c>
      <c r="E266" s="1">
        <v>465</v>
      </c>
      <c r="F266" s="2">
        <v>42479</v>
      </c>
    </row>
    <row r="267" spans="1:6" x14ac:dyDescent="0.35">
      <c r="A267" s="1">
        <v>5577150313</v>
      </c>
      <c r="B267" s="2">
        <v>42480</v>
      </c>
      <c r="C267" s="1">
        <v>1</v>
      </c>
      <c r="D267" s="1">
        <v>447</v>
      </c>
      <c r="E267" s="1">
        <v>480</v>
      </c>
      <c r="F267" s="2">
        <v>42480</v>
      </c>
    </row>
    <row r="268" spans="1:6" x14ac:dyDescent="0.35">
      <c r="A268" s="1">
        <v>5577150313</v>
      </c>
      <c r="B268" s="2">
        <v>42481</v>
      </c>
      <c r="C268" s="1">
        <v>1</v>
      </c>
      <c r="D268" s="1">
        <v>414</v>
      </c>
      <c r="E268" s="1">
        <v>437</v>
      </c>
      <c r="F268" s="2">
        <v>42481</v>
      </c>
    </row>
    <row r="269" spans="1:6" x14ac:dyDescent="0.35">
      <c r="A269" s="1">
        <v>5577150313</v>
      </c>
      <c r="B269" s="2">
        <v>42482</v>
      </c>
      <c r="C269" s="1">
        <v>1</v>
      </c>
      <c r="D269" s="1">
        <v>338</v>
      </c>
      <c r="E269" s="1">
        <v>366</v>
      </c>
      <c r="F269" s="2">
        <v>42482</v>
      </c>
    </row>
    <row r="270" spans="1:6" x14ac:dyDescent="0.35">
      <c r="A270" s="1">
        <v>5577150313</v>
      </c>
      <c r="B270" s="2">
        <v>42483</v>
      </c>
      <c r="C270" s="1">
        <v>1</v>
      </c>
      <c r="D270" s="1">
        <v>384</v>
      </c>
      <c r="E270" s="1">
        <v>402</v>
      </c>
      <c r="F270" s="2">
        <v>42483</v>
      </c>
    </row>
    <row r="271" spans="1:6" x14ac:dyDescent="0.35">
      <c r="A271" s="1">
        <v>5577150313</v>
      </c>
      <c r="B271" s="2">
        <v>42484</v>
      </c>
      <c r="C271" s="1">
        <v>1</v>
      </c>
      <c r="D271" s="1">
        <v>543</v>
      </c>
      <c r="E271" s="1">
        <v>615</v>
      </c>
      <c r="F271" s="2">
        <v>42484</v>
      </c>
    </row>
    <row r="272" spans="1:6" x14ac:dyDescent="0.35">
      <c r="A272" s="1">
        <v>5577150313</v>
      </c>
      <c r="B272" s="2">
        <v>42485</v>
      </c>
      <c r="C272" s="1">
        <v>1</v>
      </c>
      <c r="D272" s="1">
        <v>421</v>
      </c>
      <c r="E272" s="1">
        <v>461</v>
      </c>
      <c r="F272" s="2">
        <v>42485</v>
      </c>
    </row>
    <row r="273" spans="1:6" x14ac:dyDescent="0.35">
      <c r="A273" s="1">
        <v>5577150313</v>
      </c>
      <c r="B273" s="2">
        <v>42486</v>
      </c>
      <c r="C273" s="1">
        <v>1</v>
      </c>
      <c r="D273" s="1">
        <v>354</v>
      </c>
      <c r="E273" s="1">
        <v>377</v>
      </c>
      <c r="F273" s="2">
        <v>42486</v>
      </c>
    </row>
    <row r="274" spans="1:6" x14ac:dyDescent="0.35">
      <c r="A274" s="1">
        <v>5577150313</v>
      </c>
      <c r="B274" s="2">
        <v>42487</v>
      </c>
      <c r="C274" s="1">
        <v>1</v>
      </c>
      <c r="D274" s="1">
        <v>424</v>
      </c>
      <c r="E274" s="1">
        <v>452</v>
      </c>
      <c r="F274" s="2">
        <v>42487</v>
      </c>
    </row>
    <row r="275" spans="1:6" x14ac:dyDescent="0.35">
      <c r="A275" s="1">
        <v>5577150313</v>
      </c>
      <c r="B275" s="2">
        <v>42488</v>
      </c>
      <c r="C275" s="1">
        <v>1</v>
      </c>
      <c r="D275" s="1">
        <v>361</v>
      </c>
      <c r="E275" s="1">
        <v>372</v>
      </c>
      <c r="F275" s="2">
        <v>42488</v>
      </c>
    </row>
    <row r="276" spans="1:6" x14ac:dyDescent="0.35">
      <c r="A276" s="1">
        <v>5577150313</v>
      </c>
      <c r="B276" s="2">
        <v>42489</v>
      </c>
      <c r="C276" s="1">
        <v>1</v>
      </c>
      <c r="D276" s="1">
        <v>459</v>
      </c>
      <c r="E276" s="1">
        <v>485</v>
      </c>
      <c r="F276" s="2">
        <v>42489</v>
      </c>
    </row>
    <row r="277" spans="1:6" x14ac:dyDescent="0.35">
      <c r="A277" s="1">
        <v>5577150313</v>
      </c>
      <c r="B277" s="2">
        <v>42490</v>
      </c>
      <c r="C277" s="1">
        <v>1</v>
      </c>
      <c r="D277" s="1">
        <v>412</v>
      </c>
      <c r="E277" s="1">
        <v>433</v>
      </c>
      <c r="F277" s="2">
        <v>42490</v>
      </c>
    </row>
    <row r="278" spans="1:6" x14ac:dyDescent="0.35">
      <c r="A278" s="1">
        <v>5577150313</v>
      </c>
      <c r="B278" s="2">
        <v>42491</v>
      </c>
      <c r="C278" s="1">
        <v>1</v>
      </c>
      <c r="D278" s="1">
        <v>379</v>
      </c>
      <c r="E278" s="1">
        <v>398</v>
      </c>
      <c r="F278" s="2">
        <v>42491</v>
      </c>
    </row>
    <row r="279" spans="1:6" x14ac:dyDescent="0.35">
      <c r="A279" s="1">
        <v>5577150313</v>
      </c>
      <c r="B279" s="2">
        <v>42492</v>
      </c>
      <c r="C279" s="1">
        <v>2</v>
      </c>
      <c r="D279" s="1">
        <v>525</v>
      </c>
      <c r="E279" s="1">
        <v>553</v>
      </c>
      <c r="F279" s="2">
        <v>42492</v>
      </c>
    </row>
    <row r="280" spans="1:6" x14ac:dyDescent="0.35">
      <c r="A280" s="1">
        <v>5577150313</v>
      </c>
      <c r="B280" s="2">
        <v>42493</v>
      </c>
      <c r="C280" s="1">
        <v>1</v>
      </c>
      <c r="D280" s="1">
        <v>508</v>
      </c>
      <c r="E280" s="1">
        <v>543</v>
      </c>
      <c r="F280" s="2">
        <v>42493</v>
      </c>
    </row>
    <row r="281" spans="1:6" x14ac:dyDescent="0.35">
      <c r="A281" s="1">
        <v>5577150313</v>
      </c>
      <c r="B281" s="2">
        <v>42494</v>
      </c>
      <c r="C281" s="1">
        <v>1</v>
      </c>
      <c r="D281" s="1">
        <v>603</v>
      </c>
      <c r="E281" s="1">
        <v>634</v>
      </c>
      <c r="F281" s="2">
        <v>42494</v>
      </c>
    </row>
    <row r="282" spans="1:6" x14ac:dyDescent="0.35">
      <c r="A282" s="1">
        <v>5577150313</v>
      </c>
      <c r="B282" s="2">
        <v>42495</v>
      </c>
      <c r="C282" s="1">
        <v>1</v>
      </c>
      <c r="D282" s="1">
        <v>74</v>
      </c>
      <c r="E282" s="1">
        <v>78</v>
      </c>
      <c r="F282" s="2">
        <v>42495</v>
      </c>
    </row>
    <row r="283" spans="1:6" x14ac:dyDescent="0.35">
      <c r="A283" s="1">
        <v>5577150313</v>
      </c>
      <c r="B283" s="2">
        <v>42500</v>
      </c>
      <c r="C283" s="1">
        <v>1</v>
      </c>
      <c r="D283" s="1">
        <v>504</v>
      </c>
      <c r="E283" s="1">
        <v>562</v>
      </c>
      <c r="F283" s="2">
        <v>42500</v>
      </c>
    </row>
    <row r="284" spans="1:6" x14ac:dyDescent="0.35">
      <c r="A284" s="1">
        <v>5577150313</v>
      </c>
      <c r="B284" s="2">
        <v>42501</v>
      </c>
      <c r="C284" s="1">
        <v>1</v>
      </c>
      <c r="D284" s="1">
        <v>431</v>
      </c>
      <c r="E284" s="1">
        <v>476</v>
      </c>
      <c r="F284" s="2">
        <v>42501</v>
      </c>
    </row>
    <row r="285" spans="1:6" x14ac:dyDescent="0.35">
      <c r="A285" s="1">
        <v>6117666160</v>
      </c>
      <c r="B285" s="2">
        <v>42476</v>
      </c>
      <c r="C285" s="1">
        <v>1</v>
      </c>
      <c r="D285" s="1">
        <v>380</v>
      </c>
      <c r="E285" s="1">
        <v>398</v>
      </c>
      <c r="F285" s="2">
        <v>42476</v>
      </c>
    </row>
    <row r="286" spans="1:6" x14ac:dyDescent="0.35">
      <c r="A286" s="1">
        <v>6117666160</v>
      </c>
      <c r="B286" s="2">
        <v>42477</v>
      </c>
      <c r="C286" s="1">
        <v>2</v>
      </c>
      <c r="D286" s="1">
        <v>336</v>
      </c>
      <c r="E286" s="1">
        <v>350</v>
      </c>
      <c r="F286" s="2">
        <v>42477</v>
      </c>
    </row>
    <row r="287" spans="1:6" x14ac:dyDescent="0.35">
      <c r="A287" s="1">
        <v>6117666160</v>
      </c>
      <c r="B287" s="2">
        <v>42478</v>
      </c>
      <c r="C287" s="1">
        <v>2</v>
      </c>
      <c r="D287" s="1">
        <v>493</v>
      </c>
      <c r="E287" s="1">
        <v>510</v>
      </c>
      <c r="F287" s="2">
        <v>42478</v>
      </c>
    </row>
    <row r="288" spans="1:6" x14ac:dyDescent="0.35">
      <c r="A288" s="1">
        <v>6117666160</v>
      </c>
      <c r="B288" s="2">
        <v>42479</v>
      </c>
      <c r="C288" s="1">
        <v>1</v>
      </c>
      <c r="D288" s="1">
        <v>465</v>
      </c>
      <c r="E288" s="1">
        <v>492</v>
      </c>
      <c r="F288" s="2">
        <v>42479</v>
      </c>
    </row>
    <row r="289" spans="1:6" x14ac:dyDescent="0.35">
      <c r="A289" s="1">
        <v>6117666160</v>
      </c>
      <c r="B289" s="2">
        <v>42480</v>
      </c>
      <c r="C289" s="1">
        <v>1</v>
      </c>
      <c r="D289" s="1">
        <v>474</v>
      </c>
      <c r="E289" s="1">
        <v>502</v>
      </c>
      <c r="F289" s="2">
        <v>42480</v>
      </c>
    </row>
    <row r="290" spans="1:6" x14ac:dyDescent="0.35">
      <c r="A290" s="1">
        <v>6117666160</v>
      </c>
      <c r="B290" s="2">
        <v>42481</v>
      </c>
      <c r="C290" s="1">
        <v>1</v>
      </c>
      <c r="D290" s="1">
        <v>508</v>
      </c>
      <c r="E290" s="1">
        <v>550</v>
      </c>
      <c r="F290" s="2">
        <v>42481</v>
      </c>
    </row>
    <row r="291" spans="1:6" x14ac:dyDescent="0.35">
      <c r="A291" s="1">
        <v>6117666160</v>
      </c>
      <c r="B291" s="2">
        <v>42482</v>
      </c>
      <c r="C291" s="1">
        <v>1</v>
      </c>
      <c r="D291" s="1">
        <v>480</v>
      </c>
      <c r="E291" s="1">
        <v>546</v>
      </c>
      <c r="F291" s="2">
        <v>42482</v>
      </c>
    </row>
    <row r="292" spans="1:6" x14ac:dyDescent="0.35">
      <c r="A292" s="1">
        <v>6117666160</v>
      </c>
      <c r="B292" s="2">
        <v>42483</v>
      </c>
      <c r="C292" s="1">
        <v>1</v>
      </c>
      <c r="D292" s="1">
        <v>492</v>
      </c>
      <c r="E292" s="1">
        <v>539</v>
      </c>
      <c r="F292" s="2">
        <v>42483</v>
      </c>
    </row>
    <row r="293" spans="1:6" x14ac:dyDescent="0.35">
      <c r="A293" s="1">
        <v>6117666160</v>
      </c>
      <c r="B293" s="2">
        <v>42484</v>
      </c>
      <c r="C293" s="1">
        <v>1</v>
      </c>
      <c r="D293" s="1">
        <v>353</v>
      </c>
      <c r="E293" s="1">
        <v>367</v>
      </c>
      <c r="F293" s="2">
        <v>42484</v>
      </c>
    </row>
    <row r="294" spans="1:6" x14ac:dyDescent="0.35">
      <c r="A294" s="1">
        <v>6117666160</v>
      </c>
      <c r="B294" s="2">
        <v>42487</v>
      </c>
      <c r="C294" s="1">
        <v>1</v>
      </c>
      <c r="D294" s="1">
        <v>542</v>
      </c>
      <c r="E294" s="1">
        <v>557</v>
      </c>
      <c r="F294" s="2">
        <v>42487</v>
      </c>
    </row>
    <row r="295" spans="1:6" x14ac:dyDescent="0.35">
      <c r="A295" s="1">
        <v>6117666160</v>
      </c>
      <c r="B295" s="2">
        <v>42488</v>
      </c>
      <c r="C295" s="1">
        <v>1</v>
      </c>
      <c r="D295" s="1">
        <v>393</v>
      </c>
      <c r="E295" s="1">
        <v>416</v>
      </c>
      <c r="F295" s="2">
        <v>42488</v>
      </c>
    </row>
    <row r="296" spans="1:6" x14ac:dyDescent="0.35">
      <c r="A296" s="1">
        <v>6117666160</v>
      </c>
      <c r="B296" s="2">
        <v>42489</v>
      </c>
      <c r="C296" s="1">
        <v>1</v>
      </c>
      <c r="D296" s="1">
        <v>600</v>
      </c>
      <c r="E296" s="1">
        <v>636</v>
      </c>
      <c r="F296" s="2">
        <v>42489</v>
      </c>
    </row>
    <row r="297" spans="1:6" x14ac:dyDescent="0.35">
      <c r="A297" s="1">
        <v>6117666160</v>
      </c>
      <c r="B297" s="2">
        <v>42491</v>
      </c>
      <c r="C297" s="1">
        <v>1</v>
      </c>
      <c r="D297" s="1">
        <v>507</v>
      </c>
      <c r="E297" s="1">
        <v>575</v>
      </c>
      <c r="F297" s="2">
        <v>42491</v>
      </c>
    </row>
    <row r="298" spans="1:6" x14ac:dyDescent="0.35">
      <c r="A298" s="1">
        <v>6117666160</v>
      </c>
      <c r="B298" s="2">
        <v>42495</v>
      </c>
      <c r="C298" s="1">
        <v>1</v>
      </c>
      <c r="D298" s="1">
        <v>392</v>
      </c>
      <c r="E298" s="1">
        <v>415</v>
      </c>
      <c r="F298" s="2">
        <v>42495</v>
      </c>
    </row>
    <row r="299" spans="1:6" x14ac:dyDescent="0.35">
      <c r="A299" s="1">
        <v>6117666160</v>
      </c>
      <c r="B299" s="2">
        <v>42496</v>
      </c>
      <c r="C299" s="1">
        <v>2</v>
      </c>
      <c r="D299" s="1">
        <v>658</v>
      </c>
      <c r="E299" s="1">
        <v>698</v>
      </c>
      <c r="F299" s="2">
        <v>42496</v>
      </c>
    </row>
    <row r="300" spans="1:6" x14ac:dyDescent="0.35">
      <c r="A300" s="1">
        <v>6117666160</v>
      </c>
      <c r="B300" s="2">
        <v>42497</v>
      </c>
      <c r="C300" s="1">
        <v>2</v>
      </c>
      <c r="D300" s="1">
        <v>498</v>
      </c>
      <c r="E300" s="1">
        <v>507</v>
      </c>
      <c r="F300" s="2">
        <v>42497</v>
      </c>
    </row>
    <row r="301" spans="1:6" x14ac:dyDescent="0.35">
      <c r="A301" s="1">
        <v>6117666160</v>
      </c>
      <c r="B301" s="2">
        <v>42498</v>
      </c>
      <c r="C301" s="1">
        <v>1</v>
      </c>
      <c r="D301" s="1">
        <v>555</v>
      </c>
      <c r="E301" s="1">
        <v>603</v>
      </c>
      <c r="F301" s="2">
        <v>42498</v>
      </c>
    </row>
    <row r="302" spans="1:6" x14ac:dyDescent="0.35">
      <c r="A302" s="1">
        <v>6117666160</v>
      </c>
      <c r="B302" s="2">
        <v>42499</v>
      </c>
      <c r="C302" s="1">
        <v>1</v>
      </c>
      <c r="D302" s="1">
        <v>492</v>
      </c>
      <c r="E302" s="1">
        <v>522</v>
      </c>
      <c r="F302" s="2">
        <v>42499</v>
      </c>
    </row>
    <row r="303" spans="1:6" x14ac:dyDescent="0.35">
      <c r="A303" s="1">
        <v>6775888955</v>
      </c>
      <c r="B303" s="2">
        <v>42473</v>
      </c>
      <c r="C303" s="1">
        <v>1</v>
      </c>
      <c r="D303" s="1">
        <v>235</v>
      </c>
      <c r="E303" s="1">
        <v>260</v>
      </c>
      <c r="F303" s="2">
        <v>42473</v>
      </c>
    </row>
    <row r="304" spans="1:6" x14ac:dyDescent="0.35">
      <c r="A304" s="1">
        <v>6775888955</v>
      </c>
      <c r="B304" s="2">
        <v>42474</v>
      </c>
      <c r="C304" s="1">
        <v>1</v>
      </c>
      <c r="D304" s="1">
        <v>423</v>
      </c>
      <c r="E304" s="1">
        <v>441</v>
      </c>
      <c r="F304" s="2">
        <v>42474</v>
      </c>
    </row>
    <row r="305" spans="1:6" x14ac:dyDescent="0.35">
      <c r="A305" s="1">
        <v>6775888955</v>
      </c>
      <c r="B305" s="2">
        <v>42475</v>
      </c>
      <c r="C305" s="1">
        <v>1</v>
      </c>
      <c r="D305" s="1">
        <v>391</v>
      </c>
      <c r="E305" s="1">
        <v>406</v>
      </c>
      <c r="F305" s="2">
        <v>42475</v>
      </c>
    </row>
    <row r="306" spans="1:6" x14ac:dyDescent="0.35">
      <c r="A306" s="1">
        <v>6962181067</v>
      </c>
      <c r="B306" s="2">
        <v>42472</v>
      </c>
      <c r="C306" s="1">
        <v>1</v>
      </c>
      <c r="D306" s="1">
        <v>366</v>
      </c>
      <c r="E306" s="1">
        <v>387</v>
      </c>
      <c r="F306" s="2">
        <v>42472</v>
      </c>
    </row>
    <row r="307" spans="1:6" x14ac:dyDescent="0.35">
      <c r="A307" s="1">
        <v>6962181067</v>
      </c>
      <c r="B307" s="2">
        <v>42473</v>
      </c>
      <c r="C307" s="1">
        <v>3</v>
      </c>
      <c r="D307" s="1">
        <v>630</v>
      </c>
      <c r="E307" s="1">
        <v>679</v>
      </c>
      <c r="F307" s="2">
        <v>42473</v>
      </c>
    </row>
    <row r="308" spans="1:6" x14ac:dyDescent="0.35">
      <c r="A308" s="1">
        <v>6962181067</v>
      </c>
      <c r="B308" s="2">
        <v>42474</v>
      </c>
      <c r="C308" s="1">
        <v>2</v>
      </c>
      <c r="D308" s="1">
        <v>508</v>
      </c>
      <c r="E308" s="1">
        <v>535</v>
      </c>
      <c r="F308" s="2">
        <v>42474</v>
      </c>
    </row>
    <row r="309" spans="1:6" x14ac:dyDescent="0.35">
      <c r="A309" s="1">
        <v>6962181067</v>
      </c>
      <c r="B309" s="2">
        <v>42475</v>
      </c>
      <c r="C309" s="1">
        <v>1</v>
      </c>
      <c r="D309" s="1">
        <v>370</v>
      </c>
      <c r="E309" s="1">
        <v>386</v>
      </c>
      <c r="F309" s="2">
        <v>42475</v>
      </c>
    </row>
    <row r="310" spans="1:6" x14ac:dyDescent="0.35">
      <c r="A310" s="1">
        <v>6962181067</v>
      </c>
      <c r="B310" s="2">
        <v>42476</v>
      </c>
      <c r="C310" s="1">
        <v>1</v>
      </c>
      <c r="D310" s="1">
        <v>357</v>
      </c>
      <c r="E310" s="1">
        <v>366</v>
      </c>
      <c r="F310" s="2">
        <v>42476</v>
      </c>
    </row>
    <row r="311" spans="1:6" x14ac:dyDescent="0.35">
      <c r="A311" s="1">
        <v>6962181067</v>
      </c>
      <c r="B311" s="2">
        <v>42477</v>
      </c>
      <c r="C311" s="1">
        <v>1</v>
      </c>
      <c r="D311" s="1">
        <v>427</v>
      </c>
      <c r="E311" s="1">
        <v>446</v>
      </c>
      <c r="F311" s="2">
        <v>42477</v>
      </c>
    </row>
    <row r="312" spans="1:6" x14ac:dyDescent="0.35">
      <c r="A312" s="1">
        <v>6962181067</v>
      </c>
      <c r="B312" s="2">
        <v>42478</v>
      </c>
      <c r="C312" s="1">
        <v>1</v>
      </c>
      <c r="D312" s="1">
        <v>442</v>
      </c>
      <c r="E312" s="1">
        <v>458</v>
      </c>
      <c r="F312" s="2">
        <v>42478</v>
      </c>
    </row>
    <row r="313" spans="1:6" x14ac:dyDescent="0.35">
      <c r="A313" s="1">
        <v>6962181067</v>
      </c>
      <c r="B313" s="2">
        <v>42479</v>
      </c>
      <c r="C313" s="1">
        <v>1</v>
      </c>
      <c r="D313" s="1">
        <v>476</v>
      </c>
      <c r="E313" s="1">
        <v>535</v>
      </c>
      <c r="F313" s="2">
        <v>42479</v>
      </c>
    </row>
    <row r="314" spans="1:6" x14ac:dyDescent="0.35">
      <c r="A314" s="1">
        <v>6962181067</v>
      </c>
      <c r="B314" s="2">
        <v>42480</v>
      </c>
      <c r="C314" s="1">
        <v>1</v>
      </c>
      <c r="D314" s="1">
        <v>418</v>
      </c>
      <c r="E314" s="1">
        <v>424</v>
      </c>
      <c r="F314" s="2">
        <v>42480</v>
      </c>
    </row>
    <row r="315" spans="1:6" x14ac:dyDescent="0.35">
      <c r="A315" s="1">
        <v>6962181067</v>
      </c>
      <c r="B315" s="2">
        <v>42481</v>
      </c>
      <c r="C315" s="1">
        <v>1</v>
      </c>
      <c r="D315" s="1">
        <v>451</v>
      </c>
      <c r="E315" s="1">
        <v>457</v>
      </c>
      <c r="F315" s="2">
        <v>42481</v>
      </c>
    </row>
    <row r="316" spans="1:6" x14ac:dyDescent="0.35">
      <c r="A316" s="1">
        <v>6962181067</v>
      </c>
      <c r="B316" s="2">
        <v>42482</v>
      </c>
      <c r="C316" s="1">
        <v>1</v>
      </c>
      <c r="D316" s="1">
        <v>425</v>
      </c>
      <c r="E316" s="1">
        <v>435</v>
      </c>
      <c r="F316" s="2">
        <v>42482</v>
      </c>
    </row>
    <row r="317" spans="1:6" x14ac:dyDescent="0.35">
      <c r="A317" s="1">
        <v>6962181067</v>
      </c>
      <c r="B317" s="2">
        <v>42483</v>
      </c>
      <c r="C317" s="1">
        <v>1</v>
      </c>
      <c r="D317" s="1">
        <v>528</v>
      </c>
      <c r="E317" s="1">
        <v>546</v>
      </c>
      <c r="F317" s="2">
        <v>42483</v>
      </c>
    </row>
    <row r="318" spans="1:6" x14ac:dyDescent="0.35">
      <c r="A318" s="1">
        <v>6962181067</v>
      </c>
      <c r="B318" s="2">
        <v>42484</v>
      </c>
      <c r="C318" s="1">
        <v>1</v>
      </c>
      <c r="D318" s="1">
        <v>511</v>
      </c>
      <c r="E318" s="1">
        <v>514</v>
      </c>
      <c r="F318" s="2">
        <v>42484</v>
      </c>
    </row>
    <row r="319" spans="1:6" x14ac:dyDescent="0.35">
      <c r="A319" s="1">
        <v>6962181067</v>
      </c>
      <c r="B319" s="2">
        <v>42485</v>
      </c>
      <c r="C319" s="1">
        <v>1</v>
      </c>
      <c r="D319" s="1">
        <v>400</v>
      </c>
      <c r="E319" s="1">
        <v>415</v>
      </c>
      <c r="F319" s="2">
        <v>42485</v>
      </c>
    </row>
    <row r="320" spans="1:6" x14ac:dyDescent="0.35">
      <c r="A320" s="1">
        <v>6962181067</v>
      </c>
      <c r="B320" s="2">
        <v>42486</v>
      </c>
      <c r="C320" s="1">
        <v>1</v>
      </c>
      <c r="D320" s="1">
        <v>441</v>
      </c>
      <c r="E320" s="1">
        <v>446</v>
      </c>
      <c r="F320" s="2">
        <v>42486</v>
      </c>
    </row>
    <row r="321" spans="1:6" x14ac:dyDescent="0.35">
      <c r="A321" s="1">
        <v>6962181067</v>
      </c>
      <c r="B321" s="2">
        <v>42487</v>
      </c>
      <c r="C321" s="1">
        <v>1</v>
      </c>
      <c r="D321" s="1">
        <v>455</v>
      </c>
      <c r="E321" s="1">
        <v>467</v>
      </c>
      <c r="F321" s="2">
        <v>42487</v>
      </c>
    </row>
    <row r="322" spans="1:6" x14ac:dyDescent="0.35">
      <c r="A322" s="1">
        <v>6962181067</v>
      </c>
      <c r="B322" s="2">
        <v>42488</v>
      </c>
      <c r="C322" s="1">
        <v>1</v>
      </c>
      <c r="D322" s="1">
        <v>440</v>
      </c>
      <c r="E322" s="1">
        <v>453</v>
      </c>
      <c r="F322" s="2">
        <v>42488</v>
      </c>
    </row>
    <row r="323" spans="1:6" x14ac:dyDescent="0.35">
      <c r="A323" s="1">
        <v>6962181067</v>
      </c>
      <c r="B323" s="2">
        <v>42489</v>
      </c>
      <c r="C323" s="1">
        <v>1</v>
      </c>
      <c r="D323" s="1">
        <v>433</v>
      </c>
      <c r="E323" s="1">
        <v>447</v>
      </c>
      <c r="F323" s="2">
        <v>42489</v>
      </c>
    </row>
    <row r="324" spans="1:6" x14ac:dyDescent="0.35">
      <c r="A324" s="1">
        <v>6962181067</v>
      </c>
      <c r="B324" s="2">
        <v>42490</v>
      </c>
      <c r="C324" s="1">
        <v>1</v>
      </c>
      <c r="D324" s="1">
        <v>422</v>
      </c>
      <c r="E324" s="1">
        <v>424</v>
      </c>
      <c r="F324" s="2">
        <v>42490</v>
      </c>
    </row>
    <row r="325" spans="1:6" x14ac:dyDescent="0.35">
      <c r="A325" s="1">
        <v>6962181067</v>
      </c>
      <c r="B325" s="2">
        <v>42491</v>
      </c>
      <c r="C325" s="1">
        <v>1</v>
      </c>
      <c r="D325" s="1">
        <v>411</v>
      </c>
      <c r="E325" s="1">
        <v>426</v>
      </c>
      <c r="F325" s="2">
        <v>42491</v>
      </c>
    </row>
    <row r="326" spans="1:6" x14ac:dyDescent="0.35">
      <c r="A326" s="1">
        <v>6962181067</v>
      </c>
      <c r="B326" s="2">
        <v>42492</v>
      </c>
      <c r="C326" s="1">
        <v>1</v>
      </c>
      <c r="D326" s="1">
        <v>466</v>
      </c>
      <c r="E326" s="1">
        <v>482</v>
      </c>
      <c r="F326" s="2">
        <v>42492</v>
      </c>
    </row>
    <row r="327" spans="1:6" x14ac:dyDescent="0.35">
      <c r="A327" s="1">
        <v>6962181067</v>
      </c>
      <c r="B327" s="2">
        <v>42493</v>
      </c>
      <c r="C327" s="1">
        <v>1</v>
      </c>
      <c r="D327" s="1">
        <v>394</v>
      </c>
      <c r="E327" s="1">
        <v>418</v>
      </c>
      <c r="F327" s="2">
        <v>42493</v>
      </c>
    </row>
    <row r="328" spans="1:6" x14ac:dyDescent="0.35">
      <c r="A328" s="1">
        <v>6962181067</v>
      </c>
      <c r="B328" s="2">
        <v>42494</v>
      </c>
      <c r="C328" s="1">
        <v>1</v>
      </c>
      <c r="D328" s="1">
        <v>442</v>
      </c>
      <c r="E328" s="1">
        <v>455</v>
      </c>
      <c r="F328" s="2">
        <v>42494</v>
      </c>
    </row>
    <row r="329" spans="1:6" x14ac:dyDescent="0.35">
      <c r="A329" s="1">
        <v>6962181067</v>
      </c>
      <c r="B329" s="2">
        <v>42495</v>
      </c>
      <c r="C329" s="1">
        <v>1</v>
      </c>
      <c r="D329" s="1">
        <v>467</v>
      </c>
      <c r="E329" s="1">
        <v>491</v>
      </c>
      <c r="F329" s="2">
        <v>42495</v>
      </c>
    </row>
    <row r="330" spans="1:6" x14ac:dyDescent="0.35">
      <c r="A330" s="1">
        <v>6962181067</v>
      </c>
      <c r="B330" s="2">
        <v>42496</v>
      </c>
      <c r="C330" s="1">
        <v>1</v>
      </c>
      <c r="D330" s="1">
        <v>443</v>
      </c>
      <c r="E330" s="1">
        <v>462</v>
      </c>
      <c r="F330" s="2">
        <v>42496</v>
      </c>
    </row>
    <row r="331" spans="1:6" x14ac:dyDescent="0.35">
      <c r="A331" s="1">
        <v>6962181067</v>
      </c>
      <c r="B331" s="2">
        <v>42497</v>
      </c>
      <c r="C331" s="1">
        <v>1</v>
      </c>
      <c r="D331" s="1">
        <v>298</v>
      </c>
      <c r="E331" s="1">
        <v>334</v>
      </c>
      <c r="F331" s="2">
        <v>42497</v>
      </c>
    </row>
    <row r="332" spans="1:6" x14ac:dyDescent="0.35">
      <c r="A332" s="1">
        <v>6962181067</v>
      </c>
      <c r="B332" s="2">
        <v>42498</v>
      </c>
      <c r="C332" s="1">
        <v>1</v>
      </c>
      <c r="D332" s="1">
        <v>541</v>
      </c>
      <c r="E332" s="1">
        <v>569</v>
      </c>
      <c r="F332" s="2">
        <v>42498</v>
      </c>
    </row>
    <row r="333" spans="1:6" x14ac:dyDescent="0.35">
      <c r="A333" s="1">
        <v>6962181067</v>
      </c>
      <c r="B333" s="2">
        <v>42499</v>
      </c>
      <c r="C333" s="1">
        <v>1</v>
      </c>
      <c r="D333" s="1">
        <v>489</v>
      </c>
      <c r="E333" s="1">
        <v>497</v>
      </c>
      <c r="F333" s="2">
        <v>42499</v>
      </c>
    </row>
    <row r="334" spans="1:6" x14ac:dyDescent="0.35">
      <c r="A334" s="1">
        <v>6962181067</v>
      </c>
      <c r="B334" s="2">
        <v>42500</v>
      </c>
      <c r="C334" s="1">
        <v>1</v>
      </c>
      <c r="D334" s="1">
        <v>469</v>
      </c>
      <c r="E334" s="1">
        <v>481</v>
      </c>
      <c r="F334" s="2">
        <v>42500</v>
      </c>
    </row>
    <row r="335" spans="1:6" x14ac:dyDescent="0.35">
      <c r="A335" s="1">
        <v>6962181067</v>
      </c>
      <c r="B335" s="2">
        <v>42501</v>
      </c>
      <c r="C335" s="1">
        <v>1</v>
      </c>
      <c r="D335" s="1">
        <v>452</v>
      </c>
      <c r="E335" s="1">
        <v>480</v>
      </c>
      <c r="F335" s="2">
        <v>42501</v>
      </c>
    </row>
    <row r="336" spans="1:6" x14ac:dyDescent="0.35">
      <c r="A336" s="1">
        <v>6962181067</v>
      </c>
      <c r="B336" s="2">
        <v>42502</v>
      </c>
      <c r="C336" s="1">
        <v>1</v>
      </c>
      <c r="D336" s="1">
        <v>516</v>
      </c>
      <c r="E336" s="1">
        <v>535</v>
      </c>
      <c r="F336" s="2">
        <v>42502</v>
      </c>
    </row>
    <row r="337" spans="1:6" x14ac:dyDescent="0.35">
      <c r="A337" s="1">
        <v>7007744171</v>
      </c>
      <c r="B337" s="2">
        <v>42476</v>
      </c>
      <c r="C337" s="1">
        <v>1</v>
      </c>
      <c r="D337" s="1">
        <v>79</v>
      </c>
      <c r="E337" s="1">
        <v>82</v>
      </c>
      <c r="F337" s="2">
        <v>42476</v>
      </c>
    </row>
    <row r="338" spans="1:6" x14ac:dyDescent="0.35">
      <c r="A338" s="1">
        <v>7007744171</v>
      </c>
      <c r="B338" s="2">
        <v>42491</v>
      </c>
      <c r="C338" s="1">
        <v>1</v>
      </c>
      <c r="D338" s="1">
        <v>58</v>
      </c>
      <c r="E338" s="1">
        <v>61</v>
      </c>
      <c r="F338" s="2">
        <v>42491</v>
      </c>
    </row>
    <row r="339" spans="1:6" x14ac:dyDescent="0.35">
      <c r="A339" s="1">
        <v>7086361926</v>
      </c>
      <c r="B339" s="2">
        <v>42472</v>
      </c>
      <c r="C339" s="1">
        <v>1</v>
      </c>
      <c r="D339" s="1">
        <v>514</v>
      </c>
      <c r="E339" s="1">
        <v>525</v>
      </c>
      <c r="F339" s="2">
        <v>42472</v>
      </c>
    </row>
    <row r="340" spans="1:6" x14ac:dyDescent="0.35">
      <c r="A340" s="1">
        <v>7086361926</v>
      </c>
      <c r="B340" s="2">
        <v>42473</v>
      </c>
      <c r="C340" s="1">
        <v>1</v>
      </c>
      <c r="D340" s="1">
        <v>451</v>
      </c>
      <c r="E340" s="1">
        <v>465</v>
      </c>
      <c r="F340" s="2">
        <v>42473</v>
      </c>
    </row>
    <row r="341" spans="1:6" x14ac:dyDescent="0.35">
      <c r="A341" s="1">
        <v>7086361926</v>
      </c>
      <c r="B341" s="2">
        <v>42474</v>
      </c>
      <c r="C341" s="1">
        <v>1</v>
      </c>
      <c r="D341" s="1">
        <v>472</v>
      </c>
      <c r="E341" s="1">
        <v>476</v>
      </c>
      <c r="F341" s="2">
        <v>42474</v>
      </c>
    </row>
    <row r="342" spans="1:6" x14ac:dyDescent="0.35">
      <c r="A342" s="1">
        <v>7086361926</v>
      </c>
      <c r="B342" s="2">
        <v>42475</v>
      </c>
      <c r="C342" s="1">
        <v>1</v>
      </c>
      <c r="D342" s="1">
        <v>377</v>
      </c>
      <c r="E342" s="1">
        <v>386</v>
      </c>
      <c r="F342" s="2">
        <v>42475</v>
      </c>
    </row>
    <row r="343" spans="1:6" x14ac:dyDescent="0.35">
      <c r="A343" s="1">
        <v>7086361926</v>
      </c>
      <c r="B343" s="2">
        <v>42479</v>
      </c>
      <c r="C343" s="1">
        <v>1</v>
      </c>
      <c r="D343" s="1">
        <v>472</v>
      </c>
      <c r="E343" s="1">
        <v>483</v>
      </c>
      <c r="F343" s="2">
        <v>42479</v>
      </c>
    </row>
    <row r="344" spans="1:6" x14ac:dyDescent="0.35">
      <c r="A344" s="1">
        <v>7086361926</v>
      </c>
      <c r="B344" s="2">
        <v>42480</v>
      </c>
      <c r="C344" s="1">
        <v>1</v>
      </c>
      <c r="D344" s="1">
        <v>492</v>
      </c>
      <c r="E344" s="1">
        <v>502</v>
      </c>
      <c r="F344" s="2">
        <v>42480</v>
      </c>
    </row>
    <row r="345" spans="1:6" x14ac:dyDescent="0.35">
      <c r="A345" s="1">
        <v>7086361926</v>
      </c>
      <c r="B345" s="2">
        <v>42481</v>
      </c>
      <c r="C345" s="1">
        <v>1</v>
      </c>
      <c r="D345" s="1">
        <v>390</v>
      </c>
      <c r="E345" s="1">
        <v>411</v>
      </c>
      <c r="F345" s="2">
        <v>42481</v>
      </c>
    </row>
    <row r="346" spans="1:6" x14ac:dyDescent="0.35">
      <c r="A346" s="1">
        <v>7086361926</v>
      </c>
      <c r="B346" s="2">
        <v>42482</v>
      </c>
      <c r="C346" s="1">
        <v>1</v>
      </c>
      <c r="D346" s="1">
        <v>428</v>
      </c>
      <c r="E346" s="1">
        <v>448</v>
      </c>
      <c r="F346" s="2">
        <v>42482</v>
      </c>
    </row>
    <row r="347" spans="1:6" x14ac:dyDescent="0.35">
      <c r="A347" s="1">
        <v>7086361926</v>
      </c>
      <c r="B347" s="2">
        <v>42484</v>
      </c>
      <c r="C347" s="1">
        <v>1</v>
      </c>
      <c r="D347" s="1">
        <v>681</v>
      </c>
      <c r="E347" s="1">
        <v>704</v>
      </c>
      <c r="F347" s="2">
        <v>42484</v>
      </c>
    </row>
    <row r="348" spans="1:6" x14ac:dyDescent="0.35">
      <c r="A348" s="1">
        <v>7086361926</v>
      </c>
      <c r="B348" s="2">
        <v>42485</v>
      </c>
      <c r="C348" s="1">
        <v>1</v>
      </c>
      <c r="D348" s="1">
        <v>446</v>
      </c>
      <c r="E348" s="1">
        <v>447</v>
      </c>
      <c r="F348" s="2">
        <v>42485</v>
      </c>
    </row>
    <row r="349" spans="1:6" x14ac:dyDescent="0.35">
      <c r="A349" s="1">
        <v>7086361926</v>
      </c>
      <c r="B349" s="2">
        <v>42486</v>
      </c>
      <c r="C349" s="1">
        <v>1</v>
      </c>
      <c r="D349" s="1">
        <v>485</v>
      </c>
      <c r="E349" s="1">
        <v>500</v>
      </c>
      <c r="F349" s="2">
        <v>42486</v>
      </c>
    </row>
    <row r="350" spans="1:6" x14ac:dyDescent="0.35">
      <c r="A350" s="1">
        <v>7086361926</v>
      </c>
      <c r="B350" s="2">
        <v>42487</v>
      </c>
      <c r="C350" s="1">
        <v>1</v>
      </c>
      <c r="D350" s="1">
        <v>469</v>
      </c>
      <c r="E350" s="1">
        <v>479</v>
      </c>
      <c r="F350" s="2">
        <v>42487</v>
      </c>
    </row>
    <row r="351" spans="1:6" x14ac:dyDescent="0.35">
      <c r="A351" s="1">
        <v>7086361926</v>
      </c>
      <c r="B351" s="2">
        <v>42488</v>
      </c>
      <c r="C351" s="1">
        <v>1</v>
      </c>
      <c r="D351" s="1">
        <v>354</v>
      </c>
      <c r="E351" s="1">
        <v>367</v>
      </c>
      <c r="F351" s="2">
        <v>42488</v>
      </c>
    </row>
    <row r="352" spans="1:6" x14ac:dyDescent="0.35">
      <c r="A352" s="1">
        <v>7086361926</v>
      </c>
      <c r="B352" s="2">
        <v>42490</v>
      </c>
      <c r="C352" s="1">
        <v>1</v>
      </c>
      <c r="D352" s="1">
        <v>485</v>
      </c>
      <c r="E352" s="1">
        <v>489</v>
      </c>
      <c r="F352" s="2">
        <v>42490</v>
      </c>
    </row>
    <row r="353" spans="1:6" x14ac:dyDescent="0.35">
      <c r="A353" s="1">
        <v>7086361926</v>
      </c>
      <c r="B353" s="2">
        <v>42491</v>
      </c>
      <c r="C353" s="1">
        <v>1</v>
      </c>
      <c r="D353" s="1">
        <v>388</v>
      </c>
      <c r="E353" s="1">
        <v>407</v>
      </c>
      <c r="F353" s="2">
        <v>42491</v>
      </c>
    </row>
    <row r="354" spans="1:6" x14ac:dyDescent="0.35">
      <c r="A354" s="1">
        <v>7086361926</v>
      </c>
      <c r="B354" s="2">
        <v>42492</v>
      </c>
      <c r="C354" s="1">
        <v>1</v>
      </c>
      <c r="D354" s="1">
        <v>440</v>
      </c>
      <c r="E354" s="1">
        <v>459</v>
      </c>
      <c r="F354" s="2">
        <v>42492</v>
      </c>
    </row>
    <row r="355" spans="1:6" x14ac:dyDescent="0.35">
      <c r="A355" s="1">
        <v>7086361926</v>
      </c>
      <c r="B355" s="2">
        <v>42493</v>
      </c>
      <c r="C355" s="1">
        <v>1</v>
      </c>
      <c r="D355" s="1">
        <v>456</v>
      </c>
      <c r="E355" s="1">
        <v>461</v>
      </c>
      <c r="F355" s="2">
        <v>42493</v>
      </c>
    </row>
    <row r="356" spans="1:6" x14ac:dyDescent="0.35">
      <c r="A356" s="1">
        <v>7086361926</v>
      </c>
      <c r="B356" s="2">
        <v>42494</v>
      </c>
      <c r="C356" s="1">
        <v>1</v>
      </c>
      <c r="D356" s="1">
        <v>420</v>
      </c>
      <c r="E356" s="1">
        <v>436</v>
      </c>
      <c r="F356" s="2">
        <v>42494</v>
      </c>
    </row>
    <row r="357" spans="1:6" x14ac:dyDescent="0.35">
      <c r="A357" s="1">
        <v>7086361926</v>
      </c>
      <c r="B357" s="2">
        <v>42496</v>
      </c>
      <c r="C357" s="1">
        <v>1</v>
      </c>
      <c r="D357" s="1">
        <v>322</v>
      </c>
      <c r="E357" s="1">
        <v>333</v>
      </c>
      <c r="F357" s="2">
        <v>42496</v>
      </c>
    </row>
    <row r="358" spans="1:6" x14ac:dyDescent="0.35">
      <c r="A358" s="1">
        <v>7086361926</v>
      </c>
      <c r="B358" s="2">
        <v>42497</v>
      </c>
      <c r="C358" s="1">
        <v>1</v>
      </c>
      <c r="D358" s="1">
        <v>530</v>
      </c>
      <c r="E358" s="1">
        <v>548</v>
      </c>
      <c r="F358" s="2">
        <v>42497</v>
      </c>
    </row>
    <row r="359" spans="1:6" x14ac:dyDescent="0.35">
      <c r="A359" s="1">
        <v>7086361926</v>
      </c>
      <c r="B359" s="2">
        <v>42498</v>
      </c>
      <c r="C359" s="1">
        <v>1</v>
      </c>
      <c r="D359" s="1">
        <v>481</v>
      </c>
      <c r="E359" s="1">
        <v>510</v>
      </c>
      <c r="F359" s="2">
        <v>42498</v>
      </c>
    </row>
    <row r="360" spans="1:6" x14ac:dyDescent="0.35">
      <c r="A360" s="1">
        <v>7086361926</v>
      </c>
      <c r="B360" s="2">
        <v>42499</v>
      </c>
      <c r="C360" s="1">
        <v>1</v>
      </c>
      <c r="D360" s="1">
        <v>427</v>
      </c>
      <c r="E360" s="1">
        <v>438</v>
      </c>
      <c r="F360" s="2">
        <v>42499</v>
      </c>
    </row>
    <row r="361" spans="1:6" x14ac:dyDescent="0.35">
      <c r="A361" s="1">
        <v>7086361926</v>
      </c>
      <c r="B361" s="2">
        <v>42501</v>
      </c>
      <c r="C361" s="1">
        <v>1</v>
      </c>
      <c r="D361" s="1">
        <v>451</v>
      </c>
      <c r="E361" s="1">
        <v>463</v>
      </c>
      <c r="F361" s="2">
        <v>42501</v>
      </c>
    </row>
    <row r="362" spans="1:6" x14ac:dyDescent="0.35">
      <c r="A362" s="1">
        <v>7086361926</v>
      </c>
      <c r="B362" s="2">
        <v>42502</v>
      </c>
      <c r="C362" s="1">
        <v>1</v>
      </c>
      <c r="D362" s="1">
        <v>444</v>
      </c>
      <c r="E362" s="1">
        <v>457</v>
      </c>
      <c r="F362" s="2">
        <v>42502</v>
      </c>
    </row>
    <row r="363" spans="1:6" x14ac:dyDescent="0.35">
      <c r="A363" s="1">
        <v>8053475328</v>
      </c>
      <c r="B363" s="2">
        <v>42480</v>
      </c>
      <c r="C363" s="1">
        <v>1</v>
      </c>
      <c r="D363" s="1">
        <v>486</v>
      </c>
      <c r="E363" s="1">
        <v>493</v>
      </c>
      <c r="F363" s="2">
        <v>42480</v>
      </c>
    </row>
    <row r="364" spans="1:6" x14ac:dyDescent="0.35">
      <c r="A364" s="1">
        <v>8053475328</v>
      </c>
      <c r="B364" s="2">
        <v>42483</v>
      </c>
      <c r="C364" s="1">
        <v>1</v>
      </c>
      <c r="D364" s="1">
        <v>331</v>
      </c>
      <c r="E364" s="1">
        <v>337</v>
      </c>
      <c r="F364" s="2">
        <v>42483</v>
      </c>
    </row>
    <row r="365" spans="1:6" x14ac:dyDescent="0.35">
      <c r="A365" s="1">
        <v>8053475328</v>
      </c>
      <c r="B365" s="2">
        <v>42497</v>
      </c>
      <c r="C365" s="1">
        <v>1</v>
      </c>
      <c r="D365" s="1">
        <v>74</v>
      </c>
      <c r="E365" s="1">
        <v>75</v>
      </c>
      <c r="F365" s="2">
        <v>42497</v>
      </c>
    </row>
    <row r="366" spans="1:6" x14ac:dyDescent="0.35">
      <c r="A366" s="1">
        <v>8378563200</v>
      </c>
      <c r="B366" s="2">
        <v>42472</v>
      </c>
      <c r="C366" s="1">
        <v>1</v>
      </c>
      <c r="D366" s="1">
        <v>338</v>
      </c>
      <c r="E366" s="1">
        <v>356</v>
      </c>
      <c r="F366" s="2">
        <v>42472</v>
      </c>
    </row>
    <row r="367" spans="1:6" x14ac:dyDescent="0.35">
      <c r="A367" s="1">
        <v>8378563200</v>
      </c>
      <c r="B367" s="2">
        <v>42473</v>
      </c>
      <c r="C367" s="1">
        <v>2</v>
      </c>
      <c r="D367" s="1">
        <v>447</v>
      </c>
      <c r="E367" s="1">
        <v>487</v>
      </c>
      <c r="F367" s="2">
        <v>42473</v>
      </c>
    </row>
    <row r="368" spans="1:6" x14ac:dyDescent="0.35">
      <c r="A368" s="1">
        <v>8378563200</v>
      </c>
      <c r="B368" s="2">
        <v>42474</v>
      </c>
      <c r="C368" s="1">
        <v>1</v>
      </c>
      <c r="D368" s="1">
        <v>424</v>
      </c>
      <c r="E368" s="1">
        <v>455</v>
      </c>
      <c r="F368" s="2">
        <v>42474</v>
      </c>
    </row>
    <row r="369" spans="1:6" x14ac:dyDescent="0.35">
      <c r="A369" s="1">
        <v>8378563200</v>
      </c>
      <c r="B369" s="2">
        <v>42475</v>
      </c>
      <c r="C369" s="1">
        <v>1</v>
      </c>
      <c r="D369" s="1">
        <v>513</v>
      </c>
      <c r="E369" s="1">
        <v>533</v>
      </c>
      <c r="F369" s="2">
        <v>42475</v>
      </c>
    </row>
    <row r="370" spans="1:6" x14ac:dyDescent="0.35">
      <c r="A370" s="1">
        <v>8378563200</v>
      </c>
      <c r="B370" s="2">
        <v>42476</v>
      </c>
      <c r="C370" s="1">
        <v>2</v>
      </c>
      <c r="D370" s="1">
        <v>611</v>
      </c>
      <c r="E370" s="1">
        <v>689</v>
      </c>
      <c r="F370" s="2">
        <v>42476</v>
      </c>
    </row>
    <row r="371" spans="1:6" x14ac:dyDescent="0.35">
      <c r="A371" s="1">
        <v>8378563200</v>
      </c>
      <c r="B371" s="2">
        <v>42477</v>
      </c>
      <c r="C371" s="1">
        <v>2</v>
      </c>
      <c r="D371" s="1">
        <v>525</v>
      </c>
      <c r="E371" s="1">
        <v>591</v>
      </c>
      <c r="F371" s="2">
        <v>42477</v>
      </c>
    </row>
    <row r="372" spans="1:6" x14ac:dyDescent="0.35">
      <c r="A372" s="1">
        <v>8378563200</v>
      </c>
      <c r="B372" s="2">
        <v>42478</v>
      </c>
      <c r="C372" s="1">
        <v>1</v>
      </c>
      <c r="D372" s="1">
        <v>398</v>
      </c>
      <c r="E372" s="1">
        <v>451</v>
      </c>
      <c r="F372" s="2">
        <v>42478</v>
      </c>
    </row>
    <row r="373" spans="1:6" x14ac:dyDescent="0.35">
      <c r="A373" s="1">
        <v>8378563200</v>
      </c>
      <c r="B373" s="2">
        <v>42479</v>
      </c>
      <c r="C373" s="1">
        <v>1</v>
      </c>
      <c r="D373" s="1">
        <v>387</v>
      </c>
      <c r="E373" s="1">
        <v>421</v>
      </c>
      <c r="F373" s="2">
        <v>42479</v>
      </c>
    </row>
    <row r="374" spans="1:6" x14ac:dyDescent="0.35">
      <c r="A374" s="1">
        <v>8378563200</v>
      </c>
      <c r="B374" s="2">
        <v>42480</v>
      </c>
      <c r="C374" s="1">
        <v>1</v>
      </c>
      <c r="D374" s="1">
        <v>381</v>
      </c>
      <c r="E374" s="1">
        <v>409</v>
      </c>
      <c r="F374" s="2">
        <v>42480</v>
      </c>
    </row>
    <row r="375" spans="1:6" x14ac:dyDescent="0.35">
      <c r="A375" s="1">
        <v>8378563200</v>
      </c>
      <c r="B375" s="2">
        <v>42481</v>
      </c>
      <c r="C375" s="1">
        <v>1</v>
      </c>
      <c r="D375" s="1">
        <v>396</v>
      </c>
      <c r="E375" s="1">
        <v>417</v>
      </c>
      <c r="F375" s="2">
        <v>42481</v>
      </c>
    </row>
    <row r="376" spans="1:6" x14ac:dyDescent="0.35">
      <c r="A376" s="1">
        <v>8378563200</v>
      </c>
      <c r="B376" s="2">
        <v>42482</v>
      </c>
      <c r="C376" s="1">
        <v>1</v>
      </c>
      <c r="D376" s="1">
        <v>441</v>
      </c>
      <c r="E376" s="1">
        <v>469</v>
      </c>
      <c r="F376" s="2">
        <v>42482</v>
      </c>
    </row>
    <row r="377" spans="1:6" x14ac:dyDescent="0.35">
      <c r="A377" s="1">
        <v>8378563200</v>
      </c>
      <c r="B377" s="2">
        <v>42483</v>
      </c>
      <c r="C377" s="1">
        <v>1</v>
      </c>
      <c r="D377" s="1">
        <v>565</v>
      </c>
      <c r="E377" s="1">
        <v>591</v>
      </c>
      <c r="F377" s="2">
        <v>42483</v>
      </c>
    </row>
    <row r="378" spans="1:6" x14ac:dyDescent="0.35">
      <c r="A378" s="1">
        <v>8378563200</v>
      </c>
      <c r="B378" s="2">
        <v>42484</v>
      </c>
      <c r="C378" s="1">
        <v>1</v>
      </c>
      <c r="D378" s="1">
        <v>458</v>
      </c>
      <c r="E378" s="1">
        <v>492</v>
      </c>
      <c r="F378" s="2">
        <v>42484</v>
      </c>
    </row>
    <row r="379" spans="1:6" x14ac:dyDescent="0.35">
      <c r="A379" s="1">
        <v>8378563200</v>
      </c>
      <c r="B379" s="2">
        <v>42485</v>
      </c>
      <c r="C379" s="1">
        <v>1</v>
      </c>
      <c r="D379" s="1">
        <v>388</v>
      </c>
      <c r="E379" s="1">
        <v>402</v>
      </c>
      <c r="F379" s="2">
        <v>42485</v>
      </c>
    </row>
    <row r="380" spans="1:6" x14ac:dyDescent="0.35">
      <c r="A380" s="1">
        <v>8378563200</v>
      </c>
      <c r="B380" s="2">
        <v>42486</v>
      </c>
      <c r="C380" s="1">
        <v>1</v>
      </c>
      <c r="D380" s="1">
        <v>550</v>
      </c>
      <c r="E380" s="1">
        <v>584</v>
      </c>
      <c r="F380" s="2">
        <v>42486</v>
      </c>
    </row>
    <row r="381" spans="1:6" x14ac:dyDescent="0.35">
      <c r="A381" s="1">
        <v>8378563200</v>
      </c>
      <c r="B381" s="2">
        <v>42487</v>
      </c>
      <c r="C381" s="1">
        <v>1</v>
      </c>
      <c r="D381" s="1">
        <v>531</v>
      </c>
      <c r="E381" s="1">
        <v>600</v>
      </c>
      <c r="F381" s="2">
        <v>42487</v>
      </c>
    </row>
    <row r="382" spans="1:6" x14ac:dyDescent="0.35">
      <c r="A382" s="1">
        <v>8378563200</v>
      </c>
      <c r="B382" s="2">
        <v>42488</v>
      </c>
      <c r="C382" s="1">
        <v>1</v>
      </c>
      <c r="D382" s="1">
        <v>506</v>
      </c>
      <c r="E382" s="1">
        <v>556</v>
      </c>
      <c r="F382" s="2">
        <v>42488</v>
      </c>
    </row>
    <row r="383" spans="1:6" x14ac:dyDescent="0.35">
      <c r="A383" s="1">
        <v>8378563200</v>
      </c>
      <c r="B383" s="2">
        <v>42489</v>
      </c>
      <c r="C383" s="1">
        <v>1</v>
      </c>
      <c r="D383" s="1">
        <v>527</v>
      </c>
      <c r="E383" s="1">
        <v>562</v>
      </c>
      <c r="F383" s="2">
        <v>42489</v>
      </c>
    </row>
    <row r="384" spans="1:6" x14ac:dyDescent="0.35">
      <c r="A384" s="1">
        <v>8378563200</v>
      </c>
      <c r="B384" s="2">
        <v>42490</v>
      </c>
      <c r="C384" s="1">
        <v>1</v>
      </c>
      <c r="D384" s="1">
        <v>468</v>
      </c>
      <c r="E384" s="1">
        <v>555</v>
      </c>
      <c r="F384" s="2">
        <v>42490</v>
      </c>
    </row>
    <row r="385" spans="1:6" x14ac:dyDescent="0.35">
      <c r="A385" s="1">
        <v>8378563200</v>
      </c>
      <c r="B385" s="2">
        <v>42491</v>
      </c>
      <c r="C385" s="1">
        <v>1</v>
      </c>
      <c r="D385" s="1">
        <v>475</v>
      </c>
      <c r="E385" s="1">
        <v>539</v>
      </c>
      <c r="F385" s="2">
        <v>42491</v>
      </c>
    </row>
    <row r="386" spans="1:6" x14ac:dyDescent="0.35">
      <c r="A386" s="1">
        <v>8378563200</v>
      </c>
      <c r="B386" s="2">
        <v>42492</v>
      </c>
      <c r="C386" s="1">
        <v>1</v>
      </c>
      <c r="D386" s="1">
        <v>351</v>
      </c>
      <c r="E386" s="1">
        <v>385</v>
      </c>
      <c r="F386" s="2">
        <v>42492</v>
      </c>
    </row>
    <row r="387" spans="1:6" x14ac:dyDescent="0.35">
      <c r="A387" s="1">
        <v>8378563200</v>
      </c>
      <c r="B387" s="2">
        <v>42493</v>
      </c>
      <c r="C387" s="1">
        <v>1</v>
      </c>
      <c r="D387" s="1">
        <v>405</v>
      </c>
      <c r="E387" s="1">
        <v>429</v>
      </c>
      <c r="F387" s="2">
        <v>42493</v>
      </c>
    </row>
    <row r="388" spans="1:6" x14ac:dyDescent="0.35">
      <c r="A388" s="1">
        <v>8378563200</v>
      </c>
      <c r="B388" s="2">
        <v>42494</v>
      </c>
      <c r="C388" s="1">
        <v>1</v>
      </c>
      <c r="D388" s="1">
        <v>441</v>
      </c>
      <c r="E388" s="1">
        <v>477</v>
      </c>
      <c r="F388" s="2">
        <v>42494</v>
      </c>
    </row>
    <row r="389" spans="1:6" x14ac:dyDescent="0.35">
      <c r="A389" s="1">
        <v>8378563200</v>
      </c>
      <c r="B389" s="2">
        <v>42495</v>
      </c>
      <c r="C389" s="1">
        <v>1</v>
      </c>
      <c r="D389" s="1">
        <v>381</v>
      </c>
      <c r="E389" s="1">
        <v>417</v>
      </c>
      <c r="F389" s="2">
        <v>42495</v>
      </c>
    </row>
    <row r="390" spans="1:6" x14ac:dyDescent="0.35">
      <c r="A390" s="1">
        <v>8378563200</v>
      </c>
      <c r="B390" s="2">
        <v>42496</v>
      </c>
      <c r="C390" s="1">
        <v>1</v>
      </c>
      <c r="D390" s="1">
        <v>323</v>
      </c>
      <c r="E390" s="1">
        <v>355</v>
      </c>
      <c r="F390" s="2">
        <v>42496</v>
      </c>
    </row>
    <row r="391" spans="1:6" x14ac:dyDescent="0.35">
      <c r="A391" s="1">
        <v>8378563200</v>
      </c>
      <c r="B391" s="2">
        <v>42497</v>
      </c>
      <c r="C391" s="1">
        <v>2</v>
      </c>
      <c r="D391" s="1">
        <v>459</v>
      </c>
      <c r="E391" s="1">
        <v>513</v>
      </c>
      <c r="F391" s="2">
        <v>42497</v>
      </c>
    </row>
    <row r="392" spans="1:6" x14ac:dyDescent="0.35">
      <c r="A392" s="1">
        <v>8378563200</v>
      </c>
      <c r="B392" s="2">
        <v>42498</v>
      </c>
      <c r="C392" s="1">
        <v>1</v>
      </c>
      <c r="D392" s="1">
        <v>545</v>
      </c>
      <c r="E392" s="1">
        <v>606</v>
      </c>
      <c r="F392" s="2">
        <v>42498</v>
      </c>
    </row>
    <row r="393" spans="1:6" x14ac:dyDescent="0.35">
      <c r="A393" s="1">
        <v>8378563200</v>
      </c>
      <c r="B393" s="2">
        <v>42499</v>
      </c>
      <c r="C393" s="1">
        <v>1</v>
      </c>
      <c r="D393" s="1">
        <v>359</v>
      </c>
      <c r="E393" s="1">
        <v>399</v>
      </c>
      <c r="F393" s="2">
        <v>42499</v>
      </c>
    </row>
    <row r="394" spans="1:6" x14ac:dyDescent="0.35">
      <c r="A394" s="1">
        <v>8378563200</v>
      </c>
      <c r="B394" s="2">
        <v>42500</v>
      </c>
      <c r="C394" s="1">
        <v>1</v>
      </c>
      <c r="D394" s="1">
        <v>342</v>
      </c>
      <c r="E394" s="1">
        <v>391</v>
      </c>
      <c r="F394" s="2">
        <v>42500</v>
      </c>
    </row>
    <row r="395" spans="1:6" x14ac:dyDescent="0.35">
      <c r="A395" s="1">
        <v>8378563200</v>
      </c>
      <c r="B395" s="2">
        <v>42501</v>
      </c>
      <c r="C395" s="1">
        <v>1</v>
      </c>
      <c r="D395" s="1">
        <v>368</v>
      </c>
      <c r="E395" s="1">
        <v>387</v>
      </c>
      <c r="F395" s="2">
        <v>42501</v>
      </c>
    </row>
    <row r="396" spans="1:6" x14ac:dyDescent="0.35">
      <c r="A396" s="1">
        <v>8378563200</v>
      </c>
      <c r="B396" s="2">
        <v>42502</v>
      </c>
      <c r="C396" s="1">
        <v>1</v>
      </c>
      <c r="D396" s="1">
        <v>496</v>
      </c>
      <c r="E396" s="1">
        <v>546</v>
      </c>
      <c r="F396" s="2">
        <v>42502</v>
      </c>
    </row>
    <row r="397" spans="1:6" x14ac:dyDescent="0.35">
      <c r="A397" s="1">
        <v>8792009665</v>
      </c>
      <c r="B397" s="2">
        <v>42472</v>
      </c>
      <c r="C397" s="1">
        <v>1</v>
      </c>
      <c r="D397" s="1">
        <v>458</v>
      </c>
      <c r="E397" s="1">
        <v>493</v>
      </c>
      <c r="F397" s="2">
        <v>42472</v>
      </c>
    </row>
    <row r="398" spans="1:6" x14ac:dyDescent="0.35">
      <c r="A398" s="1">
        <v>8792009665</v>
      </c>
      <c r="B398" s="2">
        <v>42473</v>
      </c>
      <c r="C398" s="1">
        <v>1</v>
      </c>
      <c r="D398" s="1">
        <v>531</v>
      </c>
      <c r="E398" s="1">
        <v>552</v>
      </c>
      <c r="F398" s="2">
        <v>42473</v>
      </c>
    </row>
    <row r="399" spans="1:6" x14ac:dyDescent="0.35">
      <c r="A399" s="1">
        <v>8792009665</v>
      </c>
      <c r="B399" s="2">
        <v>42474</v>
      </c>
      <c r="C399" s="1">
        <v>1</v>
      </c>
      <c r="D399" s="1">
        <v>486</v>
      </c>
      <c r="E399" s="1">
        <v>503</v>
      </c>
      <c r="F399" s="2">
        <v>42474</v>
      </c>
    </row>
    <row r="400" spans="1:6" x14ac:dyDescent="0.35">
      <c r="A400" s="1">
        <v>8792009665</v>
      </c>
      <c r="B400" s="2">
        <v>42475</v>
      </c>
      <c r="C400" s="1">
        <v>1</v>
      </c>
      <c r="D400" s="1">
        <v>363</v>
      </c>
      <c r="E400" s="1">
        <v>377</v>
      </c>
      <c r="F400" s="2">
        <v>42475</v>
      </c>
    </row>
    <row r="401" spans="1:6" x14ac:dyDescent="0.35">
      <c r="A401" s="1">
        <v>8792009665</v>
      </c>
      <c r="B401" s="2">
        <v>42480</v>
      </c>
      <c r="C401" s="1">
        <v>1</v>
      </c>
      <c r="D401" s="1">
        <v>528</v>
      </c>
      <c r="E401" s="1">
        <v>547</v>
      </c>
      <c r="F401" s="2">
        <v>42480</v>
      </c>
    </row>
    <row r="402" spans="1:6" x14ac:dyDescent="0.35">
      <c r="A402" s="1">
        <v>8792009665</v>
      </c>
      <c r="B402" s="2">
        <v>42482</v>
      </c>
      <c r="C402" s="1">
        <v>1</v>
      </c>
      <c r="D402" s="1">
        <v>391</v>
      </c>
      <c r="E402" s="1">
        <v>407</v>
      </c>
      <c r="F402" s="2">
        <v>42482</v>
      </c>
    </row>
    <row r="403" spans="1:6" x14ac:dyDescent="0.35">
      <c r="A403" s="1">
        <v>8792009665</v>
      </c>
      <c r="B403" s="2">
        <v>42483</v>
      </c>
      <c r="C403" s="1">
        <v>1</v>
      </c>
      <c r="D403" s="1">
        <v>339</v>
      </c>
      <c r="E403" s="1">
        <v>360</v>
      </c>
      <c r="F403" s="2">
        <v>42483</v>
      </c>
    </row>
    <row r="404" spans="1:6" x14ac:dyDescent="0.35">
      <c r="A404" s="1">
        <v>8792009665</v>
      </c>
      <c r="B404" s="2">
        <v>42487</v>
      </c>
      <c r="C404" s="1">
        <v>1</v>
      </c>
      <c r="D404" s="1">
        <v>423</v>
      </c>
      <c r="E404" s="1">
        <v>428</v>
      </c>
      <c r="F404" s="2">
        <v>42487</v>
      </c>
    </row>
    <row r="405" spans="1:6" x14ac:dyDescent="0.35">
      <c r="A405" s="1">
        <v>8792009665</v>
      </c>
      <c r="B405" s="2">
        <v>42488</v>
      </c>
      <c r="C405" s="1">
        <v>1</v>
      </c>
      <c r="D405" s="1">
        <v>402</v>
      </c>
      <c r="E405" s="1">
        <v>416</v>
      </c>
      <c r="F405" s="2">
        <v>42488</v>
      </c>
    </row>
    <row r="406" spans="1:6" x14ac:dyDescent="0.35">
      <c r="A406" s="1">
        <v>8792009665</v>
      </c>
      <c r="B406" s="2">
        <v>42489</v>
      </c>
      <c r="C406" s="1">
        <v>1</v>
      </c>
      <c r="D406" s="1">
        <v>398</v>
      </c>
      <c r="E406" s="1">
        <v>406</v>
      </c>
      <c r="F406" s="2">
        <v>42489</v>
      </c>
    </row>
    <row r="407" spans="1:6" x14ac:dyDescent="0.35">
      <c r="A407" s="1">
        <v>8792009665</v>
      </c>
      <c r="B407" s="2">
        <v>42490</v>
      </c>
      <c r="C407" s="1">
        <v>1</v>
      </c>
      <c r="D407" s="1">
        <v>343</v>
      </c>
      <c r="E407" s="1">
        <v>360</v>
      </c>
      <c r="F407" s="2">
        <v>42490</v>
      </c>
    </row>
    <row r="408" spans="1:6" x14ac:dyDescent="0.35">
      <c r="A408" s="1">
        <v>8792009665</v>
      </c>
      <c r="B408" s="2">
        <v>42491</v>
      </c>
      <c r="C408" s="1">
        <v>1</v>
      </c>
      <c r="D408" s="1">
        <v>503</v>
      </c>
      <c r="E408" s="1">
        <v>527</v>
      </c>
      <c r="F408" s="2">
        <v>42491</v>
      </c>
    </row>
    <row r="409" spans="1:6" x14ac:dyDescent="0.35">
      <c r="A409" s="1">
        <v>8792009665</v>
      </c>
      <c r="B409" s="2">
        <v>42492</v>
      </c>
      <c r="C409" s="1">
        <v>1</v>
      </c>
      <c r="D409" s="1">
        <v>415</v>
      </c>
      <c r="E409" s="1">
        <v>423</v>
      </c>
      <c r="F409" s="2">
        <v>42492</v>
      </c>
    </row>
    <row r="410" spans="1:6" x14ac:dyDescent="0.35">
      <c r="A410" s="1">
        <v>8792009665</v>
      </c>
      <c r="B410" s="2">
        <v>42493</v>
      </c>
      <c r="C410" s="1">
        <v>1</v>
      </c>
      <c r="D410" s="1">
        <v>516</v>
      </c>
      <c r="E410" s="1">
        <v>545</v>
      </c>
      <c r="F410" s="2">
        <v>42493</v>
      </c>
    </row>
    <row r="411" spans="1:6" x14ac:dyDescent="0.35">
      <c r="A411" s="1">
        <v>8792009665</v>
      </c>
      <c r="B411" s="2">
        <v>42494</v>
      </c>
      <c r="C411" s="1">
        <v>1</v>
      </c>
      <c r="D411" s="1">
        <v>439</v>
      </c>
      <c r="E411" s="1">
        <v>463</v>
      </c>
      <c r="F411" s="2">
        <v>42494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8"/>
  <sheetViews>
    <sheetView topLeftCell="H1" workbookViewId="0">
      <selection activeCell="J18" sqref="J18"/>
    </sheetView>
  </sheetViews>
  <sheetFormatPr defaultRowHeight="14.5" x14ac:dyDescent="0.35"/>
  <cols>
    <col min="1" max="1" width="10.81640625" bestFit="1" customWidth="1"/>
    <col min="2" max="2" width="13.26953125" bestFit="1" customWidth="1"/>
    <col min="3" max="3" width="11.90625" bestFit="1" customWidth="1"/>
    <col min="4" max="4" width="14.54296875" bestFit="1" customWidth="1"/>
    <col min="5" max="5" width="16.6328125" bestFit="1" customWidth="1"/>
    <col min="6" max="6" width="23.90625" bestFit="1" customWidth="1"/>
    <col min="7" max="7" width="19.36328125" bestFit="1" customWidth="1"/>
    <col min="8" max="8" width="25.36328125" bestFit="1" customWidth="1"/>
    <col min="9" max="9" width="19.54296875" bestFit="1" customWidth="1"/>
    <col min="10" max="10" width="24.08984375" bestFit="1" customWidth="1"/>
    <col min="11" max="11" width="19" bestFit="1" customWidth="1"/>
    <col min="12" max="12" width="19.7265625" bestFit="1" customWidth="1"/>
    <col min="13" max="13" width="20.6328125" bestFit="1" customWidth="1"/>
    <col min="14" max="14" width="18.54296875" bestFit="1" customWidth="1"/>
    <col min="15" max="15" width="9.7265625" bestFit="1" customWidth="1"/>
    <col min="16" max="16" width="16" bestFit="1" customWidth="1"/>
    <col min="17" max="17" width="26.453125" bestFit="1" customWidth="1"/>
    <col min="18" max="18" width="34.36328125" bestFit="1" customWidth="1"/>
    <col min="19" max="19" width="35.81640625" bestFit="1" customWidth="1"/>
    <col min="20" max="20" width="32.17968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25</v>
      </c>
      <c r="R1" s="1" t="s">
        <v>26</v>
      </c>
      <c r="S1" s="1" t="s">
        <v>27</v>
      </c>
      <c r="T1" s="1" t="s">
        <v>28</v>
      </c>
      <c r="U1" t="s">
        <v>49</v>
      </c>
    </row>
    <row r="2" spans="1:21" x14ac:dyDescent="0.35">
      <c r="A2" s="1">
        <v>4020332650</v>
      </c>
      <c r="B2" s="2">
        <v>42441</v>
      </c>
      <c r="C2" s="1">
        <v>5543</v>
      </c>
      <c r="D2" s="1">
        <v>3.9700000289999999</v>
      </c>
      <c r="E2" s="1">
        <v>3.9700000289999999</v>
      </c>
      <c r="F2" s="1">
        <v>0</v>
      </c>
      <c r="G2" s="1">
        <v>0</v>
      </c>
      <c r="H2" s="1">
        <v>0</v>
      </c>
      <c r="I2" s="1">
        <v>3.960000038</v>
      </c>
      <c r="J2" s="1">
        <v>0.01</v>
      </c>
      <c r="K2" s="1">
        <v>0</v>
      </c>
      <c r="L2" s="1">
        <v>0</v>
      </c>
      <c r="M2" s="1">
        <v>254</v>
      </c>
      <c r="N2" s="1">
        <v>757</v>
      </c>
      <c r="O2" s="1">
        <v>2990</v>
      </c>
      <c r="P2" s="1" t="s">
        <v>19</v>
      </c>
      <c r="Q2" s="2"/>
      <c r="R2" s="1"/>
      <c r="S2" s="1"/>
      <c r="T2" s="1"/>
      <c r="U2" t="str">
        <f>TEXT(Merge2[[#This Row],[ActivityDate]],"dddd")</f>
        <v>Saturday</v>
      </c>
    </row>
    <row r="3" spans="1:21" x14ac:dyDescent="0.35">
      <c r="A3" s="1">
        <v>4057192912</v>
      </c>
      <c r="B3" s="2">
        <v>42441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1440</v>
      </c>
      <c r="O3" s="1">
        <v>1777</v>
      </c>
      <c r="P3" s="1" t="s">
        <v>17</v>
      </c>
      <c r="Q3" s="2"/>
      <c r="R3" s="1"/>
      <c r="S3" s="1"/>
      <c r="T3" s="1"/>
      <c r="U3" t="str">
        <f>TEXT(Merge2[[#This Row],[ActivityDate]],"dddd")</f>
        <v>Saturday</v>
      </c>
    </row>
    <row r="4" spans="1:21" x14ac:dyDescent="0.35">
      <c r="A4" s="1">
        <v>4020332650</v>
      </c>
      <c r="B4" s="2">
        <v>42442</v>
      </c>
      <c r="C4" s="1">
        <v>3226</v>
      </c>
      <c r="D4" s="1">
        <v>2.3099999430000002</v>
      </c>
      <c r="E4" s="1">
        <v>2.3099999430000002</v>
      </c>
      <c r="F4" s="1">
        <v>0</v>
      </c>
      <c r="G4" s="1">
        <v>0</v>
      </c>
      <c r="H4" s="1">
        <v>0</v>
      </c>
      <c r="I4" s="1">
        <v>2.2799999710000001</v>
      </c>
      <c r="J4" s="1">
        <v>0</v>
      </c>
      <c r="K4" s="1">
        <v>0</v>
      </c>
      <c r="L4" s="1">
        <v>0</v>
      </c>
      <c r="M4" s="1">
        <v>136</v>
      </c>
      <c r="N4" s="1">
        <v>771</v>
      </c>
      <c r="O4" s="1">
        <v>2480</v>
      </c>
      <c r="P4" s="1" t="s">
        <v>17</v>
      </c>
      <c r="Q4" s="2"/>
      <c r="R4" s="1"/>
      <c r="S4" s="1"/>
      <c r="T4" s="1"/>
      <c r="U4" t="str">
        <f>TEXT(Merge2[[#This Row],[ActivityDate]],"dddd")</f>
        <v>Sunday</v>
      </c>
    </row>
    <row r="5" spans="1:21" x14ac:dyDescent="0.35">
      <c r="A5" s="1">
        <v>4057192912</v>
      </c>
      <c r="B5" s="2">
        <v>42442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1440</v>
      </c>
      <c r="O5" s="1">
        <v>1777</v>
      </c>
      <c r="P5" s="1" t="s">
        <v>17</v>
      </c>
      <c r="Q5" s="2"/>
      <c r="R5" s="1"/>
      <c r="S5" s="1"/>
      <c r="T5" s="1"/>
      <c r="U5" t="str">
        <f>TEXT(Merge2[[#This Row],[ActivityDate]],"dddd")</f>
        <v>Sunday</v>
      </c>
    </row>
    <row r="6" spans="1:21" x14ac:dyDescent="0.35">
      <c r="A6" s="1">
        <v>4020332650</v>
      </c>
      <c r="B6" s="2">
        <v>42443</v>
      </c>
      <c r="C6" s="1">
        <v>3023</v>
      </c>
      <c r="D6" s="1">
        <v>2.170000076</v>
      </c>
      <c r="E6" s="1">
        <v>2.170000076</v>
      </c>
      <c r="F6" s="1">
        <v>0</v>
      </c>
      <c r="G6" s="1">
        <v>0</v>
      </c>
      <c r="H6" s="1">
        <v>0</v>
      </c>
      <c r="I6" s="1">
        <v>2.1400001049999999</v>
      </c>
      <c r="J6" s="1">
        <v>0</v>
      </c>
      <c r="K6" s="1">
        <v>0</v>
      </c>
      <c r="L6" s="1">
        <v>0</v>
      </c>
      <c r="M6" s="1">
        <v>145</v>
      </c>
      <c r="N6" s="1">
        <v>1005</v>
      </c>
      <c r="O6" s="1">
        <v>2570</v>
      </c>
      <c r="P6" s="1" t="s">
        <v>17</v>
      </c>
      <c r="Q6" s="2"/>
      <c r="R6" s="1"/>
      <c r="S6" s="1"/>
      <c r="T6" s="1"/>
      <c r="U6" t="str">
        <f>TEXT(Merge2[[#This Row],[ActivityDate]],"dddd")</f>
        <v>Monday</v>
      </c>
    </row>
    <row r="7" spans="1:21" x14ac:dyDescent="0.35">
      <c r="A7" s="1">
        <v>4057192912</v>
      </c>
      <c r="B7" s="2">
        <v>42443</v>
      </c>
      <c r="C7" s="1">
        <v>8433</v>
      </c>
      <c r="D7" s="1">
        <v>6.2300000190000002</v>
      </c>
      <c r="E7" s="1">
        <v>6.2300000190000002</v>
      </c>
      <c r="F7" s="1">
        <v>0</v>
      </c>
      <c r="G7" s="1">
        <v>2.4500000480000002</v>
      </c>
      <c r="H7" s="1">
        <v>0.33000001299999998</v>
      </c>
      <c r="I7" s="1">
        <v>3.4400000569999998</v>
      </c>
      <c r="J7" s="1">
        <v>0</v>
      </c>
      <c r="K7" s="1">
        <v>30</v>
      </c>
      <c r="L7" s="1">
        <v>7</v>
      </c>
      <c r="M7" s="1">
        <v>135</v>
      </c>
      <c r="N7" s="1">
        <v>1268</v>
      </c>
      <c r="O7" s="1">
        <v>2453</v>
      </c>
      <c r="P7" s="1" t="s">
        <v>18</v>
      </c>
      <c r="Q7" s="2"/>
      <c r="R7" s="1"/>
      <c r="S7" s="1"/>
      <c r="T7" s="1"/>
      <c r="U7" t="str">
        <f>TEXT(Merge2[[#This Row],[ActivityDate]],"dddd")</f>
        <v>Monday</v>
      </c>
    </row>
    <row r="8" spans="1:21" x14ac:dyDescent="0.35">
      <c r="A8" s="1">
        <v>4020332650</v>
      </c>
      <c r="B8" s="2">
        <v>42444</v>
      </c>
      <c r="C8" s="1">
        <v>5906</v>
      </c>
      <c r="D8" s="1">
        <v>4.2300000190000002</v>
      </c>
      <c r="E8" s="1">
        <v>4.2300000190000002</v>
      </c>
      <c r="F8" s="1">
        <v>0</v>
      </c>
      <c r="G8" s="1">
        <v>0</v>
      </c>
      <c r="H8" s="1">
        <v>0.15999999600000001</v>
      </c>
      <c r="I8" s="1">
        <v>4.0399999619999996</v>
      </c>
      <c r="J8" s="1">
        <v>0</v>
      </c>
      <c r="K8" s="1">
        <v>0</v>
      </c>
      <c r="L8" s="1">
        <v>10</v>
      </c>
      <c r="M8" s="1">
        <v>215</v>
      </c>
      <c r="N8" s="1">
        <v>874</v>
      </c>
      <c r="O8" s="1">
        <v>3016</v>
      </c>
      <c r="P8" s="1" t="s">
        <v>19</v>
      </c>
      <c r="Q8" s="2"/>
      <c r="R8" s="1"/>
      <c r="S8" s="1"/>
      <c r="T8" s="1"/>
      <c r="U8" t="str">
        <f>TEXT(Merge2[[#This Row],[ActivityDate]],"dddd")</f>
        <v>Tuesday</v>
      </c>
    </row>
    <row r="9" spans="1:21" x14ac:dyDescent="0.35">
      <c r="A9" s="1">
        <v>4057192912</v>
      </c>
      <c r="B9" s="2">
        <v>42444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1440</v>
      </c>
      <c r="O9" s="1">
        <v>1776</v>
      </c>
      <c r="P9" s="1" t="s">
        <v>17</v>
      </c>
      <c r="Q9" s="2"/>
      <c r="R9" s="1"/>
      <c r="S9" s="1"/>
      <c r="T9" s="1"/>
      <c r="U9" t="str">
        <f>TEXT(Merge2[[#This Row],[ActivityDate]],"dddd")</f>
        <v>Tuesday</v>
      </c>
    </row>
    <row r="10" spans="1:21" x14ac:dyDescent="0.35">
      <c r="A10" s="1">
        <v>4020332650</v>
      </c>
      <c r="B10" s="2">
        <v>42445</v>
      </c>
      <c r="C10" s="1">
        <v>12483</v>
      </c>
      <c r="D10" s="1">
        <v>8.9899997710000008</v>
      </c>
      <c r="E10" s="1">
        <v>8.9899997710000008</v>
      </c>
      <c r="F10" s="1">
        <v>0</v>
      </c>
      <c r="G10" s="1">
        <v>1.4500000479999999</v>
      </c>
      <c r="H10" s="1">
        <v>0.56999999300000004</v>
      </c>
      <c r="I10" s="1">
        <v>6.9000000950000002</v>
      </c>
      <c r="J10" s="1">
        <v>0</v>
      </c>
      <c r="K10" s="1">
        <v>25</v>
      </c>
      <c r="L10" s="1">
        <v>14</v>
      </c>
      <c r="M10" s="1">
        <v>309</v>
      </c>
      <c r="N10" s="1">
        <v>599</v>
      </c>
      <c r="O10" s="1">
        <v>3830</v>
      </c>
      <c r="P10" s="1" t="s">
        <v>16</v>
      </c>
      <c r="Q10" s="2"/>
      <c r="R10" s="1"/>
      <c r="S10" s="1"/>
      <c r="T10" s="1"/>
      <c r="U10" t="str">
        <f>TEXT(Merge2[[#This Row],[ActivityDate]],"dddd")</f>
        <v>Wednesday</v>
      </c>
    </row>
    <row r="11" spans="1:21" x14ac:dyDescent="0.35">
      <c r="A11" s="1">
        <v>4057192912</v>
      </c>
      <c r="B11" s="2">
        <v>42445</v>
      </c>
      <c r="C11" s="1">
        <v>2139</v>
      </c>
      <c r="D11" s="1">
        <v>1.559999943</v>
      </c>
      <c r="E11" s="1">
        <v>1.559999943</v>
      </c>
      <c r="F11" s="1">
        <v>0</v>
      </c>
      <c r="G11" s="1">
        <v>0</v>
      </c>
      <c r="H11" s="1">
        <v>1.2999999520000001</v>
      </c>
      <c r="I11" s="1">
        <v>0.25999999000000001</v>
      </c>
      <c r="J11" s="1">
        <v>0</v>
      </c>
      <c r="K11" s="1">
        <v>0</v>
      </c>
      <c r="L11" s="1">
        <v>28</v>
      </c>
      <c r="M11" s="1">
        <v>15</v>
      </c>
      <c r="N11" s="1">
        <v>1397</v>
      </c>
      <c r="O11" s="1">
        <v>1935</v>
      </c>
      <c r="P11" s="1" t="s">
        <v>17</v>
      </c>
      <c r="Q11" s="2"/>
      <c r="R11" s="1"/>
      <c r="S11" s="1"/>
      <c r="T11" s="1"/>
      <c r="U11" t="str">
        <f>TEXT(Merge2[[#This Row],[ActivityDate]],"dddd")</f>
        <v>Wednesday</v>
      </c>
    </row>
    <row r="12" spans="1:21" x14ac:dyDescent="0.35">
      <c r="A12" s="1">
        <v>4020332650</v>
      </c>
      <c r="B12" s="2">
        <v>42446</v>
      </c>
      <c r="C12" s="1">
        <v>8940</v>
      </c>
      <c r="D12" s="1">
        <v>6.4099998469999999</v>
      </c>
      <c r="E12" s="1">
        <v>6.4099998469999999</v>
      </c>
      <c r="F12" s="1">
        <v>0</v>
      </c>
      <c r="G12" s="1">
        <v>0</v>
      </c>
      <c r="H12" s="1">
        <v>0</v>
      </c>
      <c r="I12" s="1">
        <v>0.61000001400000003</v>
      </c>
      <c r="J12" s="1">
        <v>3.9999999000000001E-2</v>
      </c>
      <c r="K12" s="1">
        <v>0</v>
      </c>
      <c r="L12" s="1">
        <v>0</v>
      </c>
      <c r="M12" s="1">
        <v>47</v>
      </c>
      <c r="N12" s="1">
        <v>986</v>
      </c>
      <c r="O12" s="1">
        <v>3706</v>
      </c>
      <c r="P12" s="1" t="s">
        <v>18</v>
      </c>
      <c r="Q12" s="2"/>
      <c r="R12" s="1"/>
      <c r="S12" s="1"/>
      <c r="T12" s="1"/>
      <c r="U12" t="str">
        <f>TEXT(Merge2[[#This Row],[ActivityDate]],"dddd")</f>
        <v>Thursday</v>
      </c>
    </row>
    <row r="13" spans="1:21" x14ac:dyDescent="0.35">
      <c r="A13" s="1">
        <v>4057192912</v>
      </c>
      <c r="B13" s="2">
        <v>42446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1440</v>
      </c>
      <c r="O13" s="1">
        <v>1776</v>
      </c>
      <c r="P13" s="1" t="s">
        <v>17</v>
      </c>
      <c r="Q13" s="2"/>
      <c r="R13" s="1"/>
      <c r="S13" s="1"/>
      <c r="T13" s="1"/>
      <c r="U13" t="str">
        <f>TEXT(Merge2[[#This Row],[ActivityDate]],"dddd")</f>
        <v>Thursday</v>
      </c>
    </row>
    <row r="14" spans="1:21" x14ac:dyDescent="0.35">
      <c r="A14" s="1">
        <v>4020332650</v>
      </c>
      <c r="B14" s="2">
        <v>42447</v>
      </c>
      <c r="C14" s="1">
        <v>368</v>
      </c>
      <c r="D14" s="1">
        <v>0.25999999000000001</v>
      </c>
      <c r="E14" s="1">
        <v>0.25999999000000001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1440</v>
      </c>
      <c r="O14" s="1">
        <v>2024</v>
      </c>
      <c r="P14" s="1" t="s">
        <v>17</v>
      </c>
      <c r="Q14" s="2"/>
      <c r="R14" s="1"/>
      <c r="S14" s="1"/>
      <c r="T14" s="1"/>
      <c r="U14" t="str">
        <f>TEXT(Merge2[[#This Row],[ActivityDate]],"dddd")</f>
        <v>Friday</v>
      </c>
    </row>
    <row r="15" spans="1:21" x14ac:dyDescent="0.35">
      <c r="A15" s="1">
        <v>4057192912</v>
      </c>
      <c r="B15" s="2">
        <v>42447</v>
      </c>
      <c r="C15" s="1">
        <v>949</v>
      </c>
      <c r="D15" s="1">
        <v>0.689999998</v>
      </c>
      <c r="E15" s="1">
        <v>0.689999998</v>
      </c>
      <c r="F15" s="1">
        <v>0</v>
      </c>
      <c r="G15" s="1">
        <v>0</v>
      </c>
      <c r="H15" s="1">
        <v>0</v>
      </c>
      <c r="I15" s="1">
        <v>0.689999998</v>
      </c>
      <c r="J15" s="1">
        <v>0</v>
      </c>
      <c r="K15" s="1">
        <v>0</v>
      </c>
      <c r="L15" s="1">
        <v>0</v>
      </c>
      <c r="M15" s="1">
        <v>34</v>
      </c>
      <c r="N15" s="1">
        <v>1406</v>
      </c>
      <c r="O15" s="1">
        <v>1870</v>
      </c>
      <c r="P15" s="1" t="s">
        <v>17</v>
      </c>
      <c r="Q15" s="2"/>
      <c r="R15" s="1"/>
      <c r="S15" s="1"/>
      <c r="T15" s="1"/>
      <c r="U15" t="str">
        <f>TEXT(Merge2[[#This Row],[ActivityDate]],"dddd")</f>
        <v>Friday</v>
      </c>
    </row>
    <row r="16" spans="1:21" x14ac:dyDescent="0.35">
      <c r="A16" s="1">
        <v>4020332650</v>
      </c>
      <c r="B16" s="2">
        <v>42448</v>
      </c>
      <c r="C16" s="1">
        <v>5702</v>
      </c>
      <c r="D16" s="1">
        <v>4.0900001530000001</v>
      </c>
      <c r="E16" s="1">
        <v>4.0900001530000001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1440</v>
      </c>
      <c r="O16" s="1">
        <v>2980</v>
      </c>
      <c r="P16" s="1" t="s">
        <v>19</v>
      </c>
      <c r="Q16" s="2"/>
      <c r="R16" s="1"/>
      <c r="S16" s="1"/>
      <c r="T16" s="1"/>
      <c r="U16" t="str">
        <f>TEXT(Merge2[[#This Row],[ActivityDate]],"dddd")</f>
        <v>Saturday</v>
      </c>
    </row>
    <row r="17" spans="1:21" x14ac:dyDescent="0.35">
      <c r="A17" s="1">
        <v>4057192912</v>
      </c>
      <c r="B17" s="2">
        <v>42448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1440</v>
      </c>
      <c r="O17" s="1">
        <v>1777</v>
      </c>
      <c r="P17" s="1" t="s">
        <v>17</v>
      </c>
      <c r="Q17" s="2"/>
      <c r="R17" s="1"/>
      <c r="S17" s="1"/>
      <c r="T17" s="1"/>
      <c r="U17" t="str">
        <f>TEXT(Merge2[[#This Row],[ActivityDate]],"dddd")</f>
        <v>Saturday</v>
      </c>
    </row>
    <row r="18" spans="1:21" x14ac:dyDescent="0.35">
      <c r="A18" s="1">
        <v>4020332650</v>
      </c>
      <c r="B18" s="2">
        <v>42449</v>
      </c>
      <c r="C18" s="1">
        <v>10330</v>
      </c>
      <c r="D18" s="1">
        <v>7.4099998469999999</v>
      </c>
      <c r="E18" s="1">
        <v>7.4099998469999999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1440</v>
      </c>
      <c r="O18" s="1">
        <v>3728</v>
      </c>
      <c r="P18" s="1" t="s">
        <v>16</v>
      </c>
      <c r="Q18" s="2"/>
      <c r="R18" s="1"/>
      <c r="S18" s="1"/>
      <c r="T18" s="1"/>
      <c r="U18" t="str">
        <f>TEXT(Merge2[[#This Row],[ActivityDate]],"dddd")</f>
        <v>Sunday</v>
      </c>
    </row>
    <row r="19" spans="1:21" x14ac:dyDescent="0.35">
      <c r="A19" s="1">
        <v>4057192912</v>
      </c>
      <c r="B19" s="2">
        <v>42449</v>
      </c>
      <c r="C19" s="1">
        <v>44</v>
      </c>
      <c r="D19" s="1">
        <v>2.9999998999999999E-2</v>
      </c>
      <c r="E19" s="1">
        <v>2.9999998999999999E-2</v>
      </c>
      <c r="F19" s="1">
        <v>0</v>
      </c>
      <c r="G19" s="1">
        <v>0</v>
      </c>
      <c r="H19" s="1">
        <v>0</v>
      </c>
      <c r="I19" s="1">
        <v>2.9999998999999999E-2</v>
      </c>
      <c r="J19" s="1">
        <v>0</v>
      </c>
      <c r="K19" s="1">
        <v>0</v>
      </c>
      <c r="L19" s="1">
        <v>0</v>
      </c>
      <c r="M19" s="1">
        <v>2</v>
      </c>
      <c r="N19" s="1">
        <v>1438</v>
      </c>
      <c r="O19" s="1">
        <v>1782</v>
      </c>
      <c r="P19" s="1" t="s">
        <v>17</v>
      </c>
      <c r="Q19" s="2"/>
      <c r="R19" s="1"/>
      <c r="S19" s="1"/>
      <c r="T19" s="1"/>
      <c r="U19" t="str">
        <f>TEXT(Merge2[[#This Row],[ActivityDate]],"dddd")</f>
        <v>Sunday</v>
      </c>
    </row>
    <row r="20" spans="1:21" x14ac:dyDescent="0.35">
      <c r="A20" s="1">
        <v>4020332650</v>
      </c>
      <c r="B20" s="2">
        <v>42450</v>
      </c>
      <c r="C20" s="1">
        <v>8778</v>
      </c>
      <c r="D20" s="1">
        <v>6.2899999619999996</v>
      </c>
      <c r="E20" s="1">
        <v>6.2899999619999996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1440</v>
      </c>
      <c r="O20" s="1">
        <v>3348</v>
      </c>
      <c r="P20" s="1" t="s">
        <v>18</v>
      </c>
      <c r="Q20" s="2"/>
      <c r="R20" s="1"/>
      <c r="S20" s="1"/>
      <c r="T20" s="1"/>
      <c r="U20" t="str">
        <f>TEXT(Merge2[[#This Row],[ActivityDate]],"dddd")</f>
        <v>Monday</v>
      </c>
    </row>
    <row r="21" spans="1:21" x14ac:dyDescent="0.35">
      <c r="A21" s="1">
        <v>4057192912</v>
      </c>
      <c r="B21" s="2">
        <v>42450</v>
      </c>
      <c r="C21" s="1">
        <v>2660</v>
      </c>
      <c r="D21" s="1">
        <v>1.940000057</v>
      </c>
      <c r="E21" s="1">
        <v>1.940000057</v>
      </c>
      <c r="F21" s="1">
        <v>0</v>
      </c>
      <c r="G21" s="1">
        <v>0</v>
      </c>
      <c r="H21" s="1">
        <v>0</v>
      </c>
      <c r="I21" s="1">
        <v>1.940000057</v>
      </c>
      <c r="J21" s="1">
        <v>0</v>
      </c>
      <c r="K21" s="1">
        <v>0</v>
      </c>
      <c r="L21" s="1">
        <v>0</v>
      </c>
      <c r="M21" s="1">
        <v>46</v>
      </c>
      <c r="N21" s="1">
        <v>1394</v>
      </c>
      <c r="O21" s="1">
        <v>1978</v>
      </c>
      <c r="P21" s="1" t="s">
        <v>17</v>
      </c>
      <c r="Q21" s="2"/>
      <c r="R21" s="1"/>
      <c r="S21" s="1"/>
      <c r="T21" s="1"/>
      <c r="U21" t="str">
        <f>TEXT(Merge2[[#This Row],[ActivityDate]],"dddd")</f>
        <v>Monday</v>
      </c>
    </row>
    <row r="22" spans="1:21" x14ac:dyDescent="0.35">
      <c r="A22" s="1">
        <v>4020332650</v>
      </c>
      <c r="B22" s="2">
        <v>42451</v>
      </c>
      <c r="C22" s="1">
        <v>6662</v>
      </c>
      <c r="D22" s="1">
        <v>4.7800002099999999</v>
      </c>
      <c r="E22" s="1">
        <v>4.7800002099999999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1440</v>
      </c>
      <c r="O22" s="1">
        <v>3162</v>
      </c>
      <c r="P22" s="1" t="s">
        <v>19</v>
      </c>
      <c r="Q22" s="2"/>
      <c r="R22" s="1"/>
      <c r="S22" s="1"/>
      <c r="T22" s="1"/>
      <c r="U22" t="str">
        <f>TEXT(Merge2[[#This Row],[ActivityDate]],"dddd")</f>
        <v>Tuesday</v>
      </c>
    </row>
    <row r="23" spans="1:21" x14ac:dyDescent="0.35">
      <c r="A23" s="1">
        <v>4057192912</v>
      </c>
      <c r="B23" s="2">
        <v>42451</v>
      </c>
      <c r="C23" s="1">
        <v>5561</v>
      </c>
      <c r="D23" s="1">
        <v>4.1900000569999998</v>
      </c>
      <c r="E23" s="1">
        <v>4.1900000569999998</v>
      </c>
      <c r="F23" s="1">
        <v>0</v>
      </c>
      <c r="G23" s="1">
        <v>0</v>
      </c>
      <c r="H23" s="1">
        <v>0</v>
      </c>
      <c r="I23" s="1">
        <v>4.0700001720000003</v>
      </c>
      <c r="J23" s="1">
        <v>0</v>
      </c>
      <c r="K23" s="1">
        <v>0</v>
      </c>
      <c r="L23" s="1">
        <v>0</v>
      </c>
      <c r="M23" s="1">
        <v>169</v>
      </c>
      <c r="N23" s="1">
        <v>1271</v>
      </c>
      <c r="O23" s="1">
        <v>2296</v>
      </c>
      <c r="P23" s="1" t="s">
        <v>19</v>
      </c>
      <c r="Q23" s="2"/>
      <c r="R23" s="1"/>
      <c r="S23" s="1"/>
      <c r="T23" s="1"/>
      <c r="U23" t="str">
        <f>TEXT(Merge2[[#This Row],[ActivityDate]],"dddd")</f>
        <v>Tuesday</v>
      </c>
    </row>
    <row r="24" spans="1:21" x14ac:dyDescent="0.35">
      <c r="A24" s="1">
        <v>4020332650</v>
      </c>
      <c r="B24" s="2">
        <v>42452</v>
      </c>
      <c r="C24" s="1">
        <v>6309</v>
      </c>
      <c r="D24" s="1">
        <v>4.5199999809999998</v>
      </c>
      <c r="E24" s="1">
        <v>4.5199999809999998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1440</v>
      </c>
      <c r="O24" s="1">
        <v>3140</v>
      </c>
      <c r="P24" s="1" t="s">
        <v>19</v>
      </c>
      <c r="Q24" s="2"/>
      <c r="R24" s="1"/>
      <c r="S24" s="1"/>
      <c r="T24" s="1"/>
      <c r="U24" t="str">
        <f>TEXT(Merge2[[#This Row],[ActivityDate]],"dddd")</f>
        <v>Wednesday</v>
      </c>
    </row>
    <row r="25" spans="1:21" x14ac:dyDescent="0.35">
      <c r="A25" s="1">
        <v>4057192912</v>
      </c>
      <c r="B25" s="2">
        <v>42452</v>
      </c>
      <c r="C25" s="1">
        <v>7239</v>
      </c>
      <c r="D25" s="1">
        <v>5.3400001530000001</v>
      </c>
      <c r="E25" s="1">
        <v>5.3400001530000001</v>
      </c>
      <c r="F25" s="1">
        <v>0</v>
      </c>
      <c r="G25" s="1">
        <v>0.55000001200000004</v>
      </c>
      <c r="H25" s="1">
        <v>0.36000001399999998</v>
      </c>
      <c r="I25" s="1">
        <v>4.3800001139999996</v>
      </c>
      <c r="J25" s="1">
        <v>0</v>
      </c>
      <c r="K25" s="1">
        <v>7</v>
      </c>
      <c r="L25" s="1">
        <v>7</v>
      </c>
      <c r="M25" s="1">
        <v>190</v>
      </c>
      <c r="N25" s="1">
        <v>1236</v>
      </c>
      <c r="O25" s="1">
        <v>2484</v>
      </c>
      <c r="P25" s="1" t="s">
        <v>19</v>
      </c>
      <c r="Q25" s="2"/>
      <c r="R25" s="1"/>
      <c r="S25" s="1"/>
      <c r="T25" s="1"/>
      <c r="U25" t="str">
        <f>TEXT(Merge2[[#This Row],[ActivityDate]],"dddd")</f>
        <v>Wednesday</v>
      </c>
    </row>
    <row r="26" spans="1:21" x14ac:dyDescent="0.35">
      <c r="A26" s="1">
        <v>4020332650</v>
      </c>
      <c r="B26" s="2">
        <v>42453</v>
      </c>
      <c r="C26" s="1">
        <v>1951</v>
      </c>
      <c r="D26" s="1">
        <v>1.4099999670000001</v>
      </c>
      <c r="E26" s="1">
        <v>1.4099999670000001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1440</v>
      </c>
      <c r="O26" s="1">
        <v>1980</v>
      </c>
      <c r="P26" s="1" t="s">
        <v>17</v>
      </c>
      <c r="Q26" s="2"/>
      <c r="R26" s="1"/>
      <c r="S26" s="1"/>
      <c r="T26" s="1"/>
      <c r="U26" t="str">
        <f>TEXT(Merge2[[#This Row],[ActivityDate]],"dddd")</f>
        <v>Thursday</v>
      </c>
    </row>
    <row r="27" spans="1:21" x14ac:dyDescent="0.35">
      <c r="A27" s="1">
        <v>4057192912</v>
      </c>
      <c r="B27" s="2">
        <v>42453</v>
      </c>
      <c r="C27" s="1">
        <v>7</v>
      </c>
      <c r="D27" s="1">
        <v>0.01</v>
      </c>
      <c r="E27" s="1">
        <v>0.01</v>
      </c>
      <c r="F27" s="1">
        <v>0</v>
      </c>
      <c r="G27" s="1">
        <v>0</v>
      </c>
      <c r="H27" s="1">
        <v>0</v>
      </c>
      <c r="I27" s="1">
        <v>0.01</v>
      </c>
      <c r="J27" s="1">
        <v>0</v>
      </c>
      <c r="K27" s="1">
        <v>0</v>
      </c>
      <c r="L27" s="1">
        <v>0</v>
      </c>
      <c r="M27" s="1">
        <v>1</v>
      </c>
      <c r="N27" s="1">
        <v>1439</v>
      </c>
      <c r="O27" s="1">
        <v>1787</v>
      </c>
      <c r="P27" s="1" t="s">
        <v>17</v>
      </c>
      <c r="Q27" s="2"/>
      <c r="R27" s="1"/>
      <c r="S27" s="1"/>
      <c r="T27" s="1"/>
      <c r="U27" t="str">
        <f>TEXT(Merge2[[#This Row],[ActivityDate]],"dddd")</f>
        <v>Thursday</v>
      </c>
    </row>
    <row r="28" spans="1:21" x14ac:dyDescent="0.35">
      <c r="A28" s="1">
        <v>1503960366</v>
      </c>
      <c r="B28" s="2">
        <v>42454</v>
      </c>
      <c r="C28" s="1">
        <v>11004</v>
      </c>
      <c r="D28" s="1">
        <v>7.1100001339999999</v>
      </c>
      <c r="E28" s="1">
        <v>7.1100001339999999</v>
      </c>
      <c r="F28" s="1">
        <v>0</v>
      </c>
      <c r="G28" s="1">
        <v>2.5699999330000001</v>
      </c>
      <c r="H28" s="1">
        <v>0.46000000800000002</v>
      </c>
      <c r="I28" s="1">
        <v>4.0700001720000003</v>
      </c>
      <c r="J28" s="1">
        <v>0</v>
      </c>
      <c r="K28" s="1">
        <v>33</v>
      </c>
      <c r="L28" s="1">
        <v>12</v>
      </c>
      <c r="M28" s="1">
        <v>205</v>
      </c>
      <c r="N28" s="1">
        <v>804</v>
      </c>
      <c r="O28" s="1">
        <v>1819</v>
      </c>
      <c r="P28" s="1" t="s">
        <v>16</v>
      </c>
      <c r="Q28" s="2"/>
      <c r="R28" s="1"/>
      <c r="S28" s="1"/>
      <c r="T28" s="1"/>
      <c r="U28" t="str">
        <f>TEXT(Merge2[[#This Row],[ActivityDate]],"dddd")</f>
        <v>Friday</v>
      </c>
    </row>
    <row r="29" spans="1:21" x14ac:dyDescent="0.35">
      <c r="A29" s="1">
        <v>1624580081</v>
      </c>
      <c r="B29" s="2">
        <v>42454</v>
      </c>
      <c r="C29" s="1">
        <v>1810</v>
      </c>
      <c r="D29" s="1">
        <v>1.1799999480000001</v>
      </c>
      <c r="E29" s="1">
        <v>1.1799999480000001</v>
      </c>
      <c r="F29" s="1">
        <v>0</v>
      </c>
      <c r="G29" s="1">
        <v>0</v>
      </c>
      <c r="H29" s="1">
        <v>0</v>
      </c>
      <c r="I29" s="1">
        <v>1.1299999949999999</v>
      </c>
      <c r="J29" s="1">
        <v>0.01</v>
      </c>
      <c r="K29" s="1">
        <v>0</v>
      </c>
      <c r="L29" s="1">
        <v>0</v>
      </c>
      <c r="M29" s="1">
        <v>121</v>
      </c>
      <c r="N29" s="1">
        <v>1319</v>
      </c>
      <c r="O29" s="1">
        <v>1373</v>
      </c>
      <c r="P29" s="1" t="s">
        <v>17</v>
      </c>
      <c r="Q29" s="2"/>
      <c r="R29" s="1"/>
      <c r="S29" s="1"/>
      <c r="T29" s="1"/>
      <c r="U29" t="str">
        <f>TEXT(Merge2[[#This Row],[ActivityDate]],"dddd")</f>
        <v>Friday</v>
      </c>
    </row>
    <row r="30" spans="1:21" x14ac:dyDescent="0.35">
      <c r="A30" s="1">
        <v>4020332650</v>
      </c>
      <c r="B30" s="2">
        <v>42454</v>
      </c>
      <c r="C30" s="1">
        <v>5563</v>
      </c>
      <c r="D30" s="1">
        <v>3.9900000100000002</v>
      </c>
      <c r="E30" s="1">
        <v>3.9900000100000002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1440</v>
      </c>
      <c r="O30" s="1">
        <v>3681</v>
      </c>
      <c r="P30" s="1" t="s">
        <v>19</v>
      </c>
      <c r="Q30" s="2"/>
      <c r="R30" s="1"/>
      <c r="S30" s="1"/>
      <c r="T30" s="1"/>
      <c r="U30" t="str">
        <f>TEXT(Merge2[[#This Row],[ActivityDate]],"dddd")</f>
        <v>Friday</v>
      </c>
    </row>
    <row r="31" spans="1:21" x14ac:dyDescent="0.35">
      <c r="A31" s="1">
        <v>4057192912</v>
      </c>
      <c r="B31" s="2">
        <v>42454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1440</v>
      </c>
      <c r="O31" s="1">
        <v>1776</v>
      </c>
      <c r="P31" s="1" t="s">
        <v>17</v>
      </c>
      <c r="Q31" s="2"/>
      <c r="R31" s="1"/>
      <c r="S31" s="1"/>
      <c r="T31" s="1"/>
      <c r="U31" t="str">
        <f>TEXT(Merge2[[#This Row],[ActivityDate]],"dddd")</f>
        <v>Friday</v>
      </c>
    </row>
    <row r="32" spans="1:21" x14ac:dyDescent="0.35">
      <c r="A32" s="1">
        <v>1503960366</v>
      </c>
      <c r="B32" s="2">
        <v>42455</v>
      </c>
      <c r="C32" s="1">
        <v>17609</v>
      </c>
      <c r="D32" s="1">
        <v>11.55000019</v>
      </c>
      <c r="E32" s="1">
        <v>11.55000019</v>
      </c>
      <c r="F32" s="1">
        <v>0</v>
      </c>
      <c r="G32" s="1">
        <v>6.920000076</v>
      </c>
      <c r="H32" s="1">
        <v>0.730000019</v>
      </c>
      <c r="I32" s="1">
        <v>3.9100000860000002</v>
      </c>
      <c r="J32" s="1">
        <v>0</v>
      </c>
      <c r="K32" s="1">
        <v>89</v>
      </c>
      <c r="L32" s="1">
        <v>17</v>
      </c>
      <c r="M32" s="1">
        <v>274</v>
      </c>
      <c r="N32" s="1">
        <v>588</v>
      </c>
      <c r="O32" s="1">
        <v>2154</v>
      </c>
      <c r="P32" s="1" t="s">
        <v>16</v>
      </c>
      <c r="Q32" s="2"/>
      <c r="R32" s="1"/>
      <c r="S32" s="1"/>
      <c r="T32" s="1"/>
      <c r="U32" t="str">
        <f>TEXT(Merge2[[#This Row],[ActivityDate]],"dddd")</f>
        <v>Saturday</v>
      </c>
    </row>
    <row r="33" spans="1:21" x14ac:dyDescent="0.35">
      <c r="A33" s="1">
        <v>1624580081</v>
      </c>
      <c r="B33" s="2">
        <v>42455</v>
      </c>
      <c r="C33" s="1">
        <v>815</v>
      </c>
      <c r="D33" s="1">
        <v>0.52999997099999996</v>
      </c>
      <c r="E33" s="1">
        <v>0.52999997099999996</v>
      </c>
      <c r="F33" s="1">
        <v>0</v>
      </c>
      <c r="G33" s="1">
        <v>0</v>
      </c>
      <c r="H33" s="1">
        <v>0</v>
      </c>
      <c r="I33" s="1">
        <v>0.52999997099999996</v>
      </c>
      <c r="J33" s="1">
        <v>0</v>
      </c>
      <c r="K33" s="1">
        <v>0</v>
      </c>
      <c r="L33" s="1">
        <v>0</v>
      </c>
      <c r="M33" s="1">
        <v>47</v>
      </c>
      <c r="N33" s="1">
        <v>1393</v>
      </c>
      <c r="O33" s="1">
        <v>1264</v>
      </c>
      <c r="P33" s="1" t="s">
        <v>17</v>
      </c>
      <c r="Q33" s="2"/>
      <c r="R33" s="1"/>
      <c r="S33" s="1"/>
      <c r="T33" s="1"/>
      <c r="U33" t="str">
        <f>TEXT(Merge2[[#This Row],[ActivityDate]],"dddd")</f>
        <v>Saturday</v>
      </c>
    </row>
    <row r="34" spans="1:21" x14ac:dyDescent="0.35">
      <c r="A34" s="1">
        <v>4020332650</v>
      </c>
      <c r="B34" s="2">
        <v>42455</v>
      </c>
      <c r="C34" s="1">
        <v>4370</v>
      </c>
      <c r="D34" s="1">
        <v>3.130000114</v>
      </c>
      <c r="E34" s="1">
        <v>3.130000114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1440</v>
      </c>
      <c r="O34" s="1">
        <v>3444</v>
      </c>
      <c r="P34" s="1" t="s">
        <v>17</v>
      </c>
      <c r="Q34" s="2"/>
      <c r="R34" s="1"/>
      <c r="S34" s="1"/>
      <c r="T34" s="1"/>
      <c r="U34" t="str">
        <f>TEXT(Merge2[[#This Row],[ActivityDate]],"dddd")</f>
        <v>Saturday</v>
      </c>
    </row>
    <row r="35" spans="1:21" x14ac:dyDescent="0.35">
      <c r="A35" s="1">
        <v>4057192912</v>
      </c>
      <c r="B35" s="2">
        <v>42455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1440</v>
      </c>
      <c r="O35" s="1">
        <v>1776</v>
      </c>
      <c r="P35" s="1" t="s">
        <v>17</v>
      </c>
      <c r="Q35" s="2"/>
      <c r="R35" s="1"/>
      <c r="S35" s="1"/>
      <c r="T35" s="1"/>
      <c r="U35" t="str">
        <f>TEXT(Merge2[[#This Row],[ActivityDate]],"dddd")</f>
        <v>Saturday</v>
      </c>
    </row>
    <row r="36" spans="1:21" x14ac:dyDescent="0.35">
      <c r="A36" s="1">
        <v>1503960366</v>
      </c>
      <c r="B36" s="2">
        <v>42456</v>
      </c>
      <c r="C36" s="1">
        <v>12736</v>
      </c>
      <c r="D36" s="1">
        <v>8.5299997330000004</v>
      </c>
      <c r="E36" s="1">
        <v>8.5299997330000004</v>
      </c>
      <c r="F36" s="1">
        <v>0</v>
      </c>
      <c r="G36" s="1">
        <v>4.6599998469999999</v>
      </c>
      <c r="H36" s="1">
        <v>0.15999999600000001</v>
      </c>
      <c r="I36" s="1">
        <v>3.710000038</v>
      </c>
      <c r="J36" s="1">
        <v>0</v>
      </c>
      <c r="K36" s="1">
        <v>56</v>
      </c>
      <c r="L36" s="1">
        <v>5</v>
      </c>
      <c r="M36" s="1">
        <v>268</v>
      </c>
      <c r="N36" s="1">
        <v>605</v>
      </c>
      <c r="O36" s="1">
        <v>1944</v>
      </c>
      <c r="P36" s="1" t="s">
        <v>16</v>
      </c>
      <c r="Q36" s="2"/>
      <c r="R36" s="1"/>
      <c r="S36" s="1"/>
      <c r="T36" s="1"/>
      <c r="U36" t="str">
        <f>TEXT(Merge2[[#This Row],[ActivityDate]],"dddd")</f>
        <v>Sunday</v>
      </c>
    </row>
    <row r="37" spans="1:21" x14ac:dyDescent="0.35">
      <c r="A37" s="1">
        <v>1624580081</v>
      </c>
      <c r="B37" s="2">
        <v>42456</v>
      </c>
      <c r="C37" s="1">
        <v>1985</v>
      </c>
      <c r="D37" s="1">
        <v>1.289999962</v>
      </c>
      <c r="E37" s="1">
        <v>1.289999962</v>
      </c>
      <c r="F37" s="1">
        <v>0</v>
      </c>
      <c r="G37" s="1">
        <v>0</v>
      </c>
      <c r="H37" s="1">
        <v>0</v>
      </c>
      <c r="I37" s="1">
        <v>1.2799999710000001</v>
      </c>
      <c r="J37" s="1">
        <v>0.01</v>
      </c>
      <c r="K37" s="1">
        <v>0</v>
      </c>
      <c r="L37" s="1">
        <v>0</v>
      </c>
      <c r="M37" s="1">
        <v>112</v>
      </c>
      <c r="N37" s="1">
        <v>1328</v>
      </c>
      <c r="O37" s="1">
        <v>1350</v>
      </c>
      <c r="P37" s="1" t="s">
        <v>17</v>
      </c>
      <c r="Q37" s="2"/>
      <c r="R37" s="1"/>
      <c r="S37" s="1"/>
      <c r="T37" s="1"/>
      <c r="U37" t="str">
        <f>TEXT(Merge2[[#This Row],[ActivityDate]],"dddd")</f>
        <v>Sunday</v>
      </c>
    </row>
    <row r="38" spans="1:21" x14ac:dyDescent="0.35">
      <c r="A38" s="1">
        <v>4020332650</v>
      </c>
      <c r="B38" s="2">
        <v>42456</v>
      </c>
      <c r="C38" s="1">
        <v>7144</v>
      </c>
      <c r="D38" s="1">
        <v>5.1199998860000004</v>
      </c>
      <c r="E38" s="1">
        <v>5.1199998860000004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1440</v>
      </c>
      <c r="O38" s="1">
        <v>3510</v>
      </c>
      <c r="P38" s="1" t="s">
        <v>19</v>
      </c>
      <c r="Q38" s="2"/>
      <c r="R38" s="1"/>
      <c r="S38" s="1"/>
      <c r="T38" s="1"/>
      <c r="U38" t="str">
        <f>TEXT(Merge2[[#This Row],[ActivityDate]],"dddd")</f>
        <v>Sunday</v>
      </c>
    </row>
    <row r="39" spans="1:21" x14ac:dyDescent="0.35">
      <c r="A39" s="1">
        <v>4057192912</v>
      </c>
      <c r="B39" s="2">
        <v>42456</v>
      </c>
      <c r="C39" s="1">
        <v>2275</v>
      </c>
      <c r="D39" s="1">
        <v>1.6799999480000001</v>
      </c>
      <c r="E39" s="1">
        <v>1.6799999480000001</v>
      </c>
      <c r="F39" s="1">
        <v>0</v>
      </c>
      <c r="G39" s="1">
        <v>0</v>
      </c>
      <c r="H39" s="1">
        <v>0</v>
      </c>
      <c r="I39" s="1">
        <v>1.6599999670000001</v>
      </c>
      <c r="J39" s="1">
        <v>0</v>
      </c>
      <c r="K39" s="1">
        <v>0</v>
      </c>
      <c r="L39" s="1">
        <v>0</v>
      </c>
      <c r="M39" s="1">
        <v>86</v>
      </c>
      <c r="N39" s="1">
        <v>1354</v>
      </c>
      <c r="O39" s="1">
        <v>2005</v>
      </c>
      <c r="P39" s="1" t="s">
        <v>17</v>
      </c>
      <c r="Q39" s="2"/>
      <c r="R39" s="1"/>
      <c r="S39" s="1"/>
      <c r="T39" s="1"/>
      <c r="U39" t="str">
        <f>TEXT(Merge2[[#This Row],[ActivityDate]],"dddd")</f>
        <v>Sunday</v>
      </c>
    </row>
    <row r="40" spans="1:21" x14ac:dyDescent="0.35">
      <c r="A40" s="1">
        <v>1503960366</v>
      </c>
      <c r="B40" s="2">
        <v>42457</v>
      </c>
      <c r="C40" s="1">
        <v>13231</v>
      </c>
      <c r="D40" s="1">
        <v>8.9300003050000001</v>
      </c>
      <c r="E40" s="1">
        <v>8.9300003050000001</v>
      </c>
      <c r="F40" s="1">
        <v>0</v>
      </c>
      <c r="G40" s="1">
        <v>3.1900000569999998</v>
      </c>
      <c r="H40" s="1">
        <v>0.790000021</v>
      </c>
      <c r="I40" s="1">
        <v>4.9499998090000004</v>
      </c>
      <c r="J40" s="1">
        <v>0</v>
      </c>
      <c r="K40" s="1">
        <v>39</v>
      </c>
      <c r="L40" s="1">
        <v>20</v>
      </c>
      <c r="M40" s="1">
        <v>224</v>
      </c>
      <c r="N40" s="1">
        <v>1080</v>
      </c>
      <c r="O40" s="1">
        <v>1932</v>
      </c>
      <c r="P40" s="1" t="s">
        <v>16</v>
      </c>
      <c r="Q40" s="2"/>
      <c r="R40" s="1"/>
      <c r="S40" s="1"/>
      <c r="T40" s="1"/>
      <c r="U40" t="str">
        <f>TEXT(Merge2[[#This Row],[ActivityDate]],"dddd")</f>
        <v>Monday</v>
      </c>
    </row>
    <row r="41" spans="1:21" x14ac:dyDescent="0.35">
      <c r="A41" s="1">
        <v>1624580081</v>
      </c>
      <c r="B41" s="2">
        <v>42457</v>
      </c>
      <c r="C41" s="1">
        <v>1905</v>
      </c>
      <c r="D41" s="1">
        <v>1.2400000099999999</v>
      </c>
      <c r="E41" s="1">
        <v>1.2400000099999999</v>
      </c>
      <c r="F41" s="1">
        <v>0</v>
      </c>
      <c r="G41" s="1">
        <v>0</v>
      </c>
      <c r="H41" s="1">
        <v>0</v>
      </c>
      <c r="I41" s="1">
        <v>1.2400000099999999</v>
      </c>
      <c r="J41" s="1">
        <v>0</v>
      </c>
      <c r="K41" s="1">
        <v>0</v>
      </c>
      <c r="L41" s="1">
        <v>0</v>
      </c>
      <c r="M41" s="1">
        <v>95</v>
      </c>
      <c r="N41" s="1">
        <v>1345</v>
      </c>
      <c r="O41" s="1">
        <v>1342</v>
      </c>
      <c r="P41" s="1" t="s">
        <v>17</v>
      </c>
      <c r="Q41" s="2"/>
      <c r="R41" s="1"/>
      <c r="S41" s="1"/>
      <c r="T41" s="1"/>
      <c r="U41" t="str">
        <f>TEXT(Merge2[[#This Row],[ActivityDate]],"dddd")</f>
        <v>Monday</v>
      </c>
    </row>
    <row r="42" spans="1:21" x14ac:dyDescent="0.35">
      <c r="A42" s="1">
        <v>4020332650</v>
      </c>
      <c r="B42" s="2">
        <v>42457</v>
      </c>
      <c r="C42" s="1">
        <v>2106</v>
      </c>
      <c r="D42" s="1">
        <v>1.5099999900000001</v>
      </c>
      <c r="E42" s="1">
        <v>1.5099999900000001</v>
      </c>
      <c r="F42" s="1">
        <v>0</v>
      </c>
      <c r="G42" s="1">
        <v>0.02</v>
      </c>
      <c r="H42" s="1">
        <v>5.0000001000000002E-2</v>
      </c>
      <c r="I42" s="1">
        <v>0.209999993</v>
      </c>
      <c r="J42" s="1">
        <v>0</v>
      </c>
      <c r="K42" s="1">
        <v>31</v>
      </c>
      <c r="L42" s="1">
        <v>45</v>
      </c>
      <c r="M42" s="1">
        <v>75</v>
      </c>
      <c r="N42" s="1">
        <v>1289</v>
      </c>
      <c r="O42" s="1">
        <v>4010</v>
      </c>
      <c r="P42" s="1" t="s">
        <v>17</v>
      </c>
      <c r="Q42" s="2"/>
      <c r="R42" s="1"/>
      <c r="S42" s="1"/>
      <c r="T42" s="1"/>
      <c r="U42" t="str">
        <f>TEXT(Merge2[[#This Row],[ActivityDate]],"dddd")</f>
        <v>Monday</v>
      </c>
    </row>
    <row r="43" spans="1:21" x14ac:dyDescent="0.35">
      <c r="A43" s="1">
        <v>4057192912</v>
      </c>
      <c r="B43" s="2">
        <v>42457</v>
      </c>
      <c r="C43" s="1">
        <v>8</v>
      </c>
      <c r="D43" s="1">
        <v>0.01</v>
      </c>
      <c r="E43" s="1">
        <v>0.01</v>
      </c>
      <c r="F43" s="1">
        <v>0</v>
      </c>
      <c r="G43" s="1">
        <v>0</v>
      </c>
      <c r="H43" s="1">
        <v>0</v>
      </c>
      <c r="I43" s="1">
        <v>0.01</v>
      </c>
      <c r="J43" s="1">
        <v>0</v>
      </c>
      <c r="K43" s="1">
        <v>0</v>
      </c>
      <c r="L43" s="1">
        <v>0</v>
      </c>
      <c r="M43" s="1">
        <v>1</v>
      </c>
      <c r="N43" s="1">
        <v>1439</v>
      </c>
      <c r="O43" s="1">
        <v>1778</v>
      </c>
      <c r="P43" s="1" t="s">
        <v>17</v>
      </c>
      <c r="Q43" s="2"/>
      <c r="R43" s="1"/>
      <c r="S43" s="1"/>
      <c r="T43" s="1"/>
      <c r="U43" t="str">
        <f>TEXT(Merge2[[#This Row],[ActivityDate]],"dddd")</f>
        <v>Monday</v>
      </c>
    </row>
    <row r="44" spans="1:21" x14ac:dyDescent="0.35">
      <c r="A44" s="1">
        <v>1503960366</v>
      </c>
      <c r="B44" s="2">
        <v>42458</v>
      </c>
      <c r="C44" s="1">
        <v>12041</v>
      </c>
      <c r="D44" s="1">
        <v>7.8499999049999998</v>
      </c>
      <c r="E44" s="1">
        <v>7.8499999049999998</v>
      </c>
      <c r="F44" s="1">
        <v>0</v>
      </c>
      <c r="G44" s="1">
        <v>2.1600000860000002</v>
      </c>
      <c r="H44" s="1">
        <v>1.0900000329999999</v>
      </c>
      <c r="I44" s="1">
        <v>4.6100001339999999</v>
      </c>
      <c r="J44" s="1">
        <v>0</v>
      </c>
      <c r="K44" s="1">
        <v>28</v>
      </c>
      <c r="L44" s="1">
        <v>28</v>
      </c>
      <c r="M44" s="1">
        <v>243</v>
      </c>
      <c r="N44" s="1">
        <v>763</v>
      </c>
      <c r="O44" s="1">
        <v>1886</v>
      </c>
      <c r="P44" s="1" t="s">
        <v>16</v>
      </c>
      <c r="Q44" s="2"/>
      <c r="R44" s="1"/>
      <c r="S44" s="1"/>
      <c r="T44" s="1"/>
      <c r="U44" t="str">
        <f>TEXT(Merge2[[#This Row],[ActivityDate]],"dddd")</f>
        <v>Tuesday</v>
      </c>
    </row>
    <row r="45" spans="1:21" x14ac:dyDescent="0.35">
      <c r="A45" s="1">
        <v>1624580081</v>
      </c>
      <c r="B45" s="2">
        <v>42458</v>
      </c>
      <c r="C45" s="1">
        <v>1552</v>
      </c>
      <c r="D45" s="1">
        <v>1.0099999900000001</v>
      </c>
      <c r="E45" s="1">
        <v>1.0099999900000001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66</v>
      </c>
      <c r="N45" s="1">
        <v>1374</v>
      </c>
      <c r="O45" s="1">
        <v>1300</v>
      </c>
      <c r="P45" s="1" t="s">
        <v>17</v>
      </c>
      <c r="Q45" s="2"/>
      <c r="R45" s="1"/>
      <c r="S45" s="1"/>
      <c r="T45" s="1"/>
      <c r="U45" t="str">
        <f>TEXT(Merge2[[#This Row],[ActivityDate]],"dddd")</f>
        <v>Tuesday</v>
      </c>
    </row>
    <row r="46" spans="1:21" x14ac:dyDescent="0.35">
      <c r="A46" s="1">
        <v>2347167796</v>
      </c>
      <c r="B46" s="2">
        <v>42458</v>
      </c>
      <c r="C46" s="1">
        <v>10272</v>
      </c>
      <c r="D46" s="1">
        <v>6.7899999619999996</v>
      </c>
      <c r="E46" s="1">
        <v>6.7899999619999996</v>
      </c>
      <c r="F46" s="1">
        <v>0</v>
      </c>
      <c r="G46" s="1">
        <v>0.15999999600000001</v>
      </c>
      <c r="H46" s="1">
        <v>3.119999886</v>
      </c>
      <c r="I46" s="1">
        <v>3.5</v>
      </c>
      <c r="J46" s="1">
        <v>0</v>
      </c>
      <c r="K46" s="1">
        <v>2</v>
      </c>
      <c r="L46" s="1">
        <v>58</v>
      </c>
      <c r="M46" s="1">
        <v>208</v>
      </c>
      <c r="N46" s="1">
        <v>700</v>
      </c>
      <c r="O46" s="1">
        <v>2041</v>
      </c>
      <c r="P46" s="1" t="s">
        <v>16</v>
      </c>
      <c r="Q46" s="2"/>
      <c r="R46" s="1"/>
      <c r="S46" s="1"/>
      <c r="T46" s="1"/>
      <c r="U46" t="str">
        <f>TEXT(Merge2[[#This Row],[ActivityDate]],"dddd")</f>
        <v>Tuesday</v>
      </c>
    </row>
    <row r="47" spans="1:21" x14ac:dyDescent="0.35">
      <c r="A47" s="1">
        <v>2891001357</v>
      </c>
      <c r="B47" s="2">
        <v>42458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1440</v>
      </c>
      <c r="O47" s="1">
        <v>1920</v>
      </c>
      <c r="P47" s="1" t="s">
        <v>17</v>
      </c>
      <c r="Q47" s="2"/>
      <c r="R47" s="1"/>
      <c r="S47" s="1"/>
      <c r="T47" s="1"/>
      <c r="U47" t="str">
        <f>TEXT(Merge2[[#This Row],[ActivityDate]],"dddd")</f>
        <v>Tuesday</v>
      </c>
    </row>
    <row r="48" spans="1:21" x14ac:dyDescent="0.35">
      <c r="A48" s="1">
        <v>4020332650</v>
      </c>
      <c r="B48" s="2">
        <v>42458</v>
      </c>
      <c r="C48" s="1">
        <v>4152</v>
      </c>
      <c r="D48" s="1">
        <v>2.9800000190000002</v>
      </c>
      <c r="E48" s="1">
        <v>2.9800000190000002</v>
      </c>
      <c r="F48" s="1">
        <v>0</v>
      </c>
      <c r="G48" s="1">
        <v>0</v>
      </c>
      <c r="H48" s="1">
        <v>0</v>
      </c>
      <c r="I48" s="1">
        <v>2.960000038</v>
      </c>
      <c r="J48" s="1">
        <v>0</v>
      </c>
      <c r="K48" s="1">
        <v>0</v>
      </c>
      <c r="L48" s="1">
        <v>0</v>
      </c>
      <c r="M48" s="1">
        <v>187</v>
      </c>
      <c r="N48" s="1">
        <v>1253</v>
      </c>
      <c r="O48" s="1">
        <v>2976</v>
      </c>
      <c r="P48" s="1" t="s">
        <v>17</v>
      </c>
      <c r="Q48" s="2"/>
      <c r="R48" s="1"/>
      <c r="S48" s="1"/>
      <c r="T48" s="1"/>
      <c r="U48" t="str">
        <f>TEXT(Merge2[[#This Row],[ActivityDate]],"dddd")</f>
        <v>Tuesday</v>
      </c>
    </row>
    <row r="49" spans="1:21" x14ac:dyDescent="0.35">
      <c r="A49" s="1">
        <v>4057192912</v>
      </c>
      <c r="B49" s="2">
        <v>42458</v>
      </c>
      <c r="C49" s="1">
        <v>5137</v>
      </c>
      <c r="D49" s="1">
        <v>3.7599999899999998</v>
      </c>
      <c r="E49" s="1">
        <v>3.7599999899999998</v>
      </c>
      <c r="F49" s="1">
        <v>0</v>
      </c>
      <c r="G49" s="1">
        <v>0</v>
      </c>
      <c r="H49" s="1">
        <v>0</v>
      </c>
      <c r="I49" s="1">
        <v>3.7599999899999998</v>
      </c>
      <c r="J49" s="1">
        <v>0</v>
      </c>
      <c r="K49" s="1">
        <v>0</v>
      </c>
      <c r="L49" s="1">
        <v>0</v>
      </c>
      <c r="M49" s="1">
        <v>160</v>
      </c>
      <c r="N49" s="1">
        <v>1280</v>
      </c>
      <c r="O49" s="1">
        <v>2293</v>
      </c>
      <c r="P49" s="1" t="s">
        <v>19</v>
      </c>
      <c r="Q49" s="2"/>
      <c r="R49" s="1"/>
      <c r="S49" s="1"/>
      <c r="T49" s="1"/>
      <c r="U49" t="str">
        <f>TEXT(Merge2[[#This Row],[ActivityDate]],"dddd")</f>
        <v>Tuesday</v>
      </c>
    </row>
    <row r="50" spans="1:21" x14ac:dyDescent="0.35">
      <c r="A50" s="1">
        <v>4319703577</v>
      </c>
      <c r="B50" s="2">
        <v>42458</v>
      </c>
      <c r="C50" s="1">
        <v>5643</v>
      </c>
      <c r="D50" s="1">
        <v>3.789999962</v>
      </c>
      <c r="E50" s="1">
        <v>3.789999962</v>
      </c>
      <c r="F50" s="1">
        <v>0</v>
      </c>
      <c r="G50" s="1">
        <v>0.23000000400000001</v>
      </c>
      <c r="H50" s="1">
        <v>0.33000001299999998</v>
      </c>
      <c r="I50" s="1">
        <v>3.2300000190000002</v>
      </c>
      <c r="J50" s="1">
        <v>0</v>
      </c>
      <c r="K50" s="1">
        <v>3</v>
      </c>
      <c r="L50" s="1">
        <v>8</v>
      </c>
      <c r="M50" s="1">
        <v>199</v>
      </c>
      <c r="N50" s="1">
        <v>683</v>
      </c>
      <c r="O50" s="1">
        <v>1958</v>
      </c>
      <c r="P50" s="1" t="s">
        <v>19</v>
      </c>
      <c r="Q50" s="2"/>
      <c r="R50" s="1"/>
      <c r="S50" s="1"/>
      <c r="T50" s="1"/>
      <c r="U50" t="str">
        <f>TEXT(Merge2[[#This Row],[ActivityDate]],"dddd")</f>
        <v>Tuesday</v>
      </c>
    </row>
    <row r="51" spans="1:21" x14ac:dyDescent="0.35">
      <c r="A51" s="1">
        <v>4388161847</v>
      </c>
      <c r="B51" s="2">
        <v>42458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1440</v>
      </c>
      <c r="O51" s="1">
        <v>1878</v>
      </c>
      <c r="P51" s="1" t="s">
        <v>17</v>
      </c>
      <c r="Q51" s="2"/>
      <c r="R51" s="1"/>
      <c r="S51" s="1"/>
      <c r="T51" s="1"/>
      <c r="U51" t="str">
        <f>TEXT(Merge2[[#This Row],[ActivityDate]],"dddd")</f>
        <v>Tuesday</v>
      </c>
    </row>
    <row r="52" spans="1:21" x14ac:dyDescent="0.35">
      <c r="A52" s="1">
        <v>4445114986</v>
      </c>
      <c r="B52" s="2">
        <v>42458</v>
      </c>
      <c r="C52" s="1">
        <v>2303</v>
      </c>
      <c r="D52" s="1">
        <v>1.5499999520000001</v>
      </c>
      <c r="E52" s="1">
        <v>1.5499999520000001</v>
      </c>
      <c r="F52" s="1">
        <v>0</v>
      </c>
      <c r="G52" s="1">
        <v>0</v>
      </c>
      <c r="H52" s="1">
        <v>0</v>
      </c>
      <c r="I52" s="1">
        <v>1.5499999520000001</v>
      </c>
      <c r="J52" s="1">
        <v>0</v>
      </c>
      <c r="K52" s="1">
        <v>0</v>
      </c>
      <c r="L52" s="1">
        <v>0</v>
      </c>
      <c r="M52" s="1">
        <v>155</v>
      </c>
      <c r="N52" s="1">
        <v>807</v>
      </c>
      <c r="O52" s="1">
        <v>2010</v>
      </c>
      <c r="P52" s="1" t="s">
        <v>17</v>
      </c>
      <c r="Q52" s="2"/>
      <c r="R52" s="1"/>
      <c r="S52" s="1"/>
      <c r="T52" s="1"/>
      <c r="U52" t="str">
        <f>TEXT(Merge2[[#This Row],[ActivityDate]],"dddd")</f>
        <v>Tuesday</v>
      </c>
    </row>
    <row r="53" spans="1:21" x14ac:dyDescent="0.35">
      <c r="A53" s="1">
        <v>4702921684</v>
      </c>
      <c r="B53" s="2">
        <v>42458</v>
      </c>
      <c r="C53" s="1">
        <v>6506</v>
      </c>
      <c r="D53" s="1">
        <v>5.2800002099999999</v>
      </c>
      <c r="E53" s="1">
        <v>5.2800002099999999</v>
      </c>
      <c r="F53" s="1">
        <v>0</v>
      </c>
      <c r="G53" s="1">
        <v>0.33000001299999998</v>
      </c>
      <c r="H53" s="1">
        <v>0.27000001099999998</v>
      </c>
      <c r="I53" s="1">
        <v>4.670000076</v>
      </c>
      <c r="J53" s="1">
        <v>0</v>
      </c>
      <c r="K53" s="1">
        <v>4</v>
      </c>
      <c r="L53" s="1">
        <v>5</v>
      </c>
      <c r="M53" s="1">
        <v>241</v>
      </c>
      <c r="N53" s="1">
        <v>760</v>
      </c>
      <c r="O53" s="1">
        <v>2886</v>
      </c>
      <c r="P53" s="1" t="s">
        <v>19</v>
      </c>
      <c r="Q53" s="2"/>
      <c r="R53" s="1"/>
      <c r="S53" s="1"/>
      <c r="T53" s="1"/>
      <c r="U53" t="str">
        <f>TEXT(Merge2[[#This Row],[ActivityDate]],"dddd")</f>
        <v>Tuesday</v>
      </c>
    </row>
    <row r="54" spans="1:21" x14ac:dyDescent="0.35">
      <c r="A54" s="1">
        <v>1503960366</v>
      </c>
      <c r="B54" s="2">
        <v>42459</v>
      </c>
      <c r="C54" s="1">
        <v>10970</v>
      </c>
      <c r="D54" s="1">
        <v>7.1599998469999999</v>
      </c>
      <c r="E54" s="1">
        <v>7.1599998469999999</v>
      </c>
      <c r="F54" s="1">
        <v>0</v>
      </c>
      <c r="G54" s="1">
        <v>2.3599998950000001</v>
      </c>
      <c r="H54" s="1">
        <v>0.50999998999999996</v>
      </c>
      <c r="I54" s="1">
        <v>4.2899999619999996</v>
      </c>
      <c r="J54" s="1">
        <v>0</v>
      </c>
      <c r="K54" s="1">
        <v>30</v>
      </c>
      <c r="L54" s="1">
        <v>13</v>
      </c>
      <c r="M54" s="1">
        <v>223</v>
      </c>
      <c r="N54" s="1">
        <v>1174</v>
      </c>
      <c r="O54" s="1">
        <v>1820</v>
      </c>
      <c r="P54" s="1" t="s">
        <v>16</v>
      </c>
      <c r="Q54" s="2"/>
      <c r="R54" s="1"/>
      <c r="S54" s="1"/>
      <c r="T54" s="1"/>
      <c r="U54" t="str">
        <f>TEXT(Merge2[[#This Row],[ActivityDate]],"dddd")</f>
        <v>Wednesday</v>
      </c>
    </row>
    <row r="55" spans="1:21" x14ac:dyDescent="0.35">
      <c r="A55" s="1">
        <v>1624580081</v>
      </c>
      <c r="B55" s="2">
        <v>42459</v>
      </c>
      <c r="C55" s="1">
        <v>1675</v>
      </c>
      <c r="D55" s="1">
        <v>1.0900000329999999</v>
      </c>
      <c r="E55" s="1">
        <v>1.0900000329999999</v>
      </c>
      <c r="F55" s="1">
        <v>0</v>
      </c>
      <c r="G55" s="1">
        <v>0</v>
      </c>
      <c r="H55" s="1">
        <v>0</v>
      </c>
      <c r="I55" s="1">
        <v>1.0900000329999999</v>
      </c>
      <c r="J55" s="1">
        <v>0</v>
      </c>
      <c r="K55" s="1">
        <v>0</v>
      </c>
      <c r="L55" s="1">
        <v>0</v>
      </c>
      <c r="M55" s="1">
        <v>84</v>
      </c>
      <c r="N55" s="1">
        <v>1356</v>
      </c>
      <c r="O55" s="1">
        <v>1313</v>
      </c>
      <c r="P55" s="1" t="s">
        <v>17</v>
      </c>
      <c r="Q55" s="2"/>
      <c r="R55" s="1"/>
      <c r="S55" s="1"/>
      <c r="T55" s="1"/>
      <c r="U55" t="str">
        <f>TEXT(Merge2[[#This Row],[ActivityDate]],"dddd")</f>
        <v>Wednesday</v>
      </c>
    </row>
    <row r="56" spans="1:21" x14ac:dyDescent="0.35">
      <c r="A56" s="1">
        <v>2347167796</v>
      </c>
      <c r="B56" s="2">
        <v>42459</v>
      </c>
      <c r="C56" s="1">
        <v>10533</v>
      </c>
      <c r="D56" s="1">
        <v>7.0999999049999998</v>
      </c>
      <c r="E56" s="1">
        <v>7.0999999049999998</v>
      </c>
      <c r="F56" s="1">
        <v>0</v>
      </c>
      <c r="G56" s="1">
        <v>1.769999981</v>
      </c>
      <c r="H56" s="1">
        <v>2.0599999430000002</v>
      </c>
      <c r="I56" s="1">
        <v>3.2699999809999998</v>
      </c>
      <c r="J56" s="1">
        <v>0</v>
      </c>
      <c r="K56" s="1">
        <v>21</v>
      </c>
      <c r="L56" s="1">
        <v>35</v>
      </c>
      <c r="M56" s="1">
        <v>255</v>
      </c>
      <c r="N56" s="1">
        <v>615</v>
      </c>
      <c r="O56" s="1">
        <v>2187</v>
      </c>
      <c r="P56" s="1" t="s">
        <v>16</v>
      </c>
      <c r="Q56" s="2"/>
      <c r="R56" s="1"/>
      <c r="S56" s="1"/>
      <c r="T56" s="1"/>
      <c r="U56" t="str">
        <f>TEXT(Merge2[[#This Row],[ActivityDate]],"dddd")</f>
        <v>Wednesday</v>
      </c>
    </row>
    <row r="57" spans="1:21" x14ac:dyDescent="0.35">
      <c r="A57" s="1">
        <v>2891001357</v>
      </c>
      <c r="B57" s="2">
        <v>42459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1440</v>
      </c>
      <c r="O57" s="1">
        <v>1920</v>
      </c>
      <c r="P57" s="1" t="s">
        <v>17</v>
      </c>
      <c r="Q57" s="2"/>
      <c r="R57" s="1"/>
      <c r="S57" s="1"/>
      <c r="T57" s="1"/>
      <c r="U57" t="str">
        <f>TEXT(Merge2[[#This Row],[ActivityDate]],"dddd")</f>
        <v>Wednesday</v>
      </c>
    </row>
    <row r="58" spans="1:21" x14ac:dyDescent="0.35">
      <c r="A58" s="1">
        <v>4020332650</v>
      </c>
      <c r="B58" s="2">
        <v>42459</v>
      </c>
      <c r="C58" s="1">
        <v>5400</v>
      </c>
      <c r="D58" s="1">
        <v>3.869999886</v>
      </c>
      <c r="E58" s="1">
        <v>3.869999886</v>
      </c>
      <c r="F58" s="1">
        <v>0</v>
      </c>
      <c r="G58" s="1">
        <v>0</v>
      </c>
      <c r="H58" s="1">
        <v>0</v>
      </c>
      <c r="I58" s="1">
        <v>3.8499999049999998</v>
      </c>
      <c r="J58" s="1">
        <v>0</v>
      </c>
      <c r="K58" s="1">
        <v>0</v>
      </c>
      <c r="L58" s="1">
        <v>0</v>
      </c>
      <c r="M58" s="1">
        <v>258</v>
      </c>
      <c r="N58" s="1">
        <v>795</v>
      </c>
      <c r="O58" s="1">
        <v>3418</v>
      </c>
      <c r="P58" s="1" t="s">
        <v>19</v>
      </c>
      <c r="Q58" s="2"/>
      <c r="R58" s="1"/>
      <c r="S58" s="1"/>
      <c r="T58" s="1"/>
      <c r="U58" t="str">
        <f>TEXT(Merge2[[#This Row],[ActivityDate]],"dddd")</f>
        <v>Wednesday</v>
      </c>
    </row>
    <row r="59" spans="1:21" x14ac:dyDescent="0.35">
      <c r="A59" s="1">
        <v>4057192912</v>
      </c>
      <c r="B59" s="2">
        <v>42459</v>
      </c>
      <c r="C59" s="1">
        <v>5419</v>
      </c>
      <c r="D59" s="1">
        <v>4</v>
      </c>
      <c r="E59" s="1">
        <v>4.5700001720000003</v>
      </c>
      <c r="F59" s="1">
        <v>5.5842998999999997E-2</v>
      </c>
      <c r="G59" s="1">
        <v>0</v>
      </c>
      <c r="H59" s="1">
        <v>0</v>
      </c>
      <c r="I59" s="1">
        <v>3.9100000860000002</v>
      </c>
      <c r="J59" s="1">
        <v>5.9999998999999998E-2</v>
      </c>
      <c r="K59" s="1">
        <v>0</v>
      </c>
      <c r="L59" s="1">
        <v>0</v>
      </c>
      <c r="M59" s="1">
        <v>145</v>
      </c>
      <c r="N59" s="1">
        <v>1295</v>
      </c>
      <c r="O59" s="1">
        <v>2259</v>
      </c>
      <c r="P59" s="1" t="s">
        <v>19</v>
      </c>
      <c r="Q59" s="2"/>
      <c r="R59" s="1"/>
      <c r="S59" s="1"/>
      <c r="T59" s="1"/>
      <c r="U59" t="str">
        <f>TEXT(Merge2[[#This Row],[ActivityDate]],"dddd")</f>
        <v>Wednesday</v>
      </c>
    </row>
    <row r="60" spans="1:21" x14ac:dyDescent="0.35">
      <c r="A60" s="1">
        <v>4319703577</v>
      </c>
      <c r="B60" s="2">
        <v>42459</v>
      </c>
      <c r="C60" s="1">
        <v>9043</v>
      </c>
      <c r="D60" s="1">
        <v>6.0700001720000003</v>
      </c>
      <c r="E60" s="1">
        <v>6.0700001720000003</v>
      </c>
      <c r="F60" s="1">
        <v>0</v>
      </c>
      <c r="G60" s="1">
        <v>0.25</v>
      </c>
      <c r="H60" s="1">
        <v>0.43000000700000002</v>
      </c>
      <c r="I60" s="1">
        <v>5.3699998860000004</v>
      </c>
      <c r="J60" s="1">
        <v>0</v>
      </c>
      <c r="K60" s="1">
        <v>4</v>
      </c>
      <c r="L60" s="1">
        <v>12</v>
      </c>
      <c r="M60" s="1">
        <v>244</v>
      </c>
      <c r="N60" s="1">
        <v>702</v>
      </c>
      <c r="O60" s="1">
        <v>2141</v>
      </c>
      <c r="P60" s="1" t="s">
        <v>18</v>
      </c>
      <c r="Q60" s="2"/>
      <c r="R60" s="1"/>
      <c r="S60" s="1"/>
      <c r="T60" s="1"/>
      <c r="U60" t="str">
        <f>TEXT(Merge2[[#This Row],[ActivityDate]],"dddd")</f>
        <v>Wednesday</v>
      </c>
    </row>
    <row r="61" spans="1:21" x14ac:dyDescent="0.35">
      <c r="A61" s="1">
        <v>4388161847</v>
      </c>
      <c r="B61" s="2">
        <v>42459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1440</v>
      </c>
      <c r="O61" s="1">
        <v>1878</v>
      </c>
      <c r="P61" s="1" t="s">
        <v>17</v>
      </c>
      <c r="Q61" s="2"/>
      <c r="R61" s="1"/>
      <c r="S61" s="1"/>
      <c r="T61" s="1"/>
      <c r="U61" t="str">
        <f>TEXT(Merge2[[#This Row],[ActivityDate]],"dddd")</f>
        <v>Wednesday</v>
      </c>
    </row>
    <row r="62" spans="1:21" x14ac:dyDescent="0.35">
      <c r="A62" s="1">
        <v>4445114986</v>
      </c>
      <c r="B62" s="2">
        <v>42459</v>
      </c>
      <c r="C62" s="1">
        <v>2600</v>
      </c>
      <c r="D62" s="1">
        <v>1.7400000099999999</v>
      </c>
      <c r="E62" s="1">
        <v>1.7400000099999999</v>
      </c>
      <c r="F62" s="1">
        <v>0</v>
      </c>
      <c r="G62" s="1">
        <v>0</v>
      </c>
      <c r="H62" s="1">
        <v>0</v>
      </c>
      <c r="I62" s="1">
        <v>1.7400000099999999</v>
      </c>
      <c r="J62" s="1">
        <v>0</v>
      </c>
      <c r="K62" s="1">
        <v>0</v>
      </c>
      <c r="L62" s="1">
        <v>0</v>
      </c>
      <c r="M62" s="1">
        <v>163</v>
      </c>
      <c r="N62" s="1">
        <v>1277</v>
      </c>
      <c r="O62" s="1">
        <v>2032</v>
      </c>
      <c r="P62" s="1" t="s">
        <v>17</v>
      </c>
      <c r="Q62" s="2"/>
      <c r="R62" s="1"/>
      <c r="S62" s="1"/>
      <c r="T62" s="1"/>
      <c r="U62" t="str">
        <f>TEXT(Merge2[[#This Row],[ActivityDate]],"dddd")</f>
        <v>Wednesday</v>
      </c>
    </row>
    <row r="63" spans="1:21" x14ac:dyDescent="0.35">
      <c r="A63" s="1">
        <v>4702921684</v>
      </c>
      <c r="B63" s="2">
        <v>42459</v>
      </c>
      <c r="C63" s="1">
        <v>7583</v>
      </c>
      <c r="D63" s="1">
        <v>6.1500000950000002</v>
      </c>
      <c r="E63" s="1">
        <v>6.1500000950000002</v>
      </c>
      <c r="F63" s="1">
        <v>0</v>
      </c>
      <c r="G63" s="1">
        <v>0.25</v>
      </c>
      <c r="H63" s="1">
        <v>0.55000001200000004</v>
      </c>
      <c r="I63" s="1">
        <v>5.3499999049999998</v>
      </c>
      <c r="J63" s="1">
        <v>0</v>
      </c>
      <c r="K63" s="1">
        <v>3</v>
      </c>
      <c r="L63" s="1">
        <v>13</v>
      </c>
      <c r="M63" s="1">
        <v>227</v>
      </c>
      <c r="N63" s="1">
        <v>742</v>
      </c>
      <c r="O63" s="1">
        <v>2915</v>
      </c>
      <c r="P63" s="1" t="s">
        <v>18</v>
      </c>
      <c r="Q63" s="2"/>
      <c r="R63" s="1"/>
      <c r="S63" s="1"/>
      <c r="T63" s="1"/>
      <c r="U63" t="str">
        <f>TEXT(Merge2[[#This Row],[ActivityDate]],"dddd")</f>
        <v>Wednesday</v>
      </c>
    </row>
    <row r="64" spans="1:21" x14ac:dyDescent="0.35">
      <c r="A64" s="1">
        <v>6962181067</v>
      </c>
      <c r="B64" s="2">
        <v>42459</v>
      </c>
      <c r="C64" s="1">
        <v>15491</v>
      </c>
      <c r="D64" s="1">
        <v>10.239999770000001</v>
      </c>
      <c r="E64" s="1">
        <v>10.239999770000001</v>
      </c>
      <c r="F64" s="1">
        <v>0</v>
      </c>
      <c r="G64" s="1">
        <v>1.289999962</v>
      </c>
      <c r="H64" s="1">
        <v>4.4899997709999999</v>
      </c>
      <c r="I64" s="1">
        <v>4.4600000380000004</v>
      </c>
      <c r="J64" s="1">
        <v>0</v>
      </c>
      <c r="K64" s="1">
        <v>18</v>
      </c>
      <c r="L64" s="1">
        <v>77</v>
      </c>
      <c r="M64" s="1">
        <v>272</v>
      </c>
      <c r="N64" s="1">
        <v>641</v>
      </c>
      <c r="O64" s="1">
        <v>2244</v>
      </c>
      <c r="P64" s="1" t="s">
        <v>16</v>
      </c>
      <c r="Q64" s="2"/>
      <c r="R64" s="1"/>
      <c r="S64" s="1"/>
      <c r="T64" s="1"/>
      <c r="U64" t="str">
        <f>TEXT(Merge2[[#This Row],[ActivityDate]],"dddd")</f>
        <v>Wednesday</v>
      </c>
    </row>
    <row r="65" spans="1:21" x14ac:dyDescent="0.35">
      <c r="A65" s="1">
        <v>1503960366</v>
      </c>
      <c r="B65" s="2">
        <v>42460</v>
      </c>
      <c r="C65" s="1">
        <v>12256</v>
      </c>
      <c r="D65" s="1">
        <v>7.8600001339999999</v>
      </c>
      <c r="E65" s="1">
        <v>7.8600001339999999</v>
      </c>
      <c r="F65" s="1">
        <v>0</v>
      </c>
      <c r="G65" s="1">
        <v>2.289999962</v>
      </c>
      <c r="H65" s="1">
        <v>0.49000000999999999</v>
      </c>
      <c r="I65" s="1">
        <v>5.0399999619999996</v>
      </c>
      <c r="J65" s="1">
        <v>0</v>
      </c>
      <c r="K65" s="1">
        <v>33</v>
      </c>
      <c r="L65" s="1">
        <v>12</v>
      </c>
      <c r="M65" s="1">
        <v>239</v>
      </c>
      <c r="N65" s="1">
        <v>820</v>
      </c>
      <c r="O65" s="1">
        <v>1889</v>
      </c>
      <c r="P65" s="1" t="s">
        <v>16</v>
      </c>
      <c r="Q65" s="2"/>
      <c r="R65" s="1"/>
      <c r="S65" s="1"/>
      <c r="T65" s="1"/>
      <c r="U65" t="str">
        <f>TEXT(Merge2[[#This Row],[ActivityDate]],"dddd")</f>
        <v>Thursday</v>
      </c>
    </row>
    <row r="66" spans="1:21" x14ac:dyDescent="0.35">
      <c r="A66" s="1">
        <v>1624580081</v>
      </c>
      <c r="B66" s="2">
        <v>42460</v>
      </c>
      <c r="C66" s="1">
        <v>4506</v>
      </c>
      <c r="D66" s="1">
        <v>2.9300000669999999</v>
      </c>
      <c r="E66" s="1">
        <v>2.9300000669999999</v>
      </c>
      <c r="F66" s="1">
        <v>0</v>
      </c>
      <c r="G66" s="1">
        <v>0.50999998999999996</v>
      </c>
      <c r="H66" s="1">
        <v>0.27000001099999998</v>
      </c>
      <c r="I66" s="1">
        <v>2.1500000950000002</v>
      </c>
      <c r="J66" s="1">
        <v>0.01</v>
      </c>
      <c r="K66" s="1">
        <v>7</v>
      </c>
      <c r="L66" s="1">
        <v>4</v>
      </c>
      <c r="M66" s="1">
        <v>144</v>
      </c>
      <c r="N66" s="1">
        <v>1285</v>
      </c>
      <c r="O66" s="1">
        <v>1498</v>
      </c>
      <c r="P66" s="1" t="s">
        <v>17</v>
      </c>
      <c r="Q66" s="2"/>
      <c r="R66" s="1"/>
      <c r="S66" s="1"/>
      <c r="T66" s="1"/>
      <c r="U66" t="str">
        <f>TEXT(Merge2[[#This Row],[ActivityDate]],"dddd")</f>
        <v>Thursday</v>
      </c>
    </row>
    <row r="67" spans="1:21" x14ac:dyDescent="0.35">
      <c r="A67" s="1">
        <v>2347167796</v>
      </c>
      <c r="B67" s="2">
        <v>42460</v>
      </c>
      <c r="C67" s="1">
        <v>6760</v>
      </c>
      <c r="D67" s="1">
        <v>4.4699997900000001</v>
      </c>
      <c r="E67" s="1">
        <v>4.4699997900000001</v>
      </c>
      <c r="F67" s="1">
        <v>0</v>
      </c>
      <c r="G67" s="1">
        <v>0</v>
      </c>
      <c r="H67" s="1">
        <v>0</v>
      </c>
      <c r="I67" s="1">
        <v>4.4699997900000001</v>
      </c>
      <c r="J67" s="1">
        <v>0</v>
      </c>
      <c r="K67" s="1">
        <v>0</v>
      </c>
      <c r="L67" s="1">
        <v>0</v>
      </c>
      <c r="M67" s="1">
        <v>250</v>
      </c>
      <c r="N67" s="1">
        <v>613</v>
      </c>
      <c r="O67" s="1">
        <v>1929</v>
      </c>
      <c r="P67" s="1" t="s">
        <v>19</v>
      </c>
      <c r="Q67" s="2"/>
      <c r="R67" s="1"/>
      <c r="S67" s="1"/>
      <c r="T67" s="1"/>
      <c r="U67" t="str">
        <f>TEXT(Merge2[[#This Row],[ActivityDate]],"dddd")</f>
        <v>Thursday</v>
      </c>
    </row>
    <row r="68" spans="1:21" x14ac:dyDescent="0.35">
      <c r="A68" s="1">
        <v>2891001357</v>
      </c>
      <c r="B68" s="2">
        <v>42460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1440</v>
      </c>
      <c r="O68" s="1">
        <v>1920</v>
      </c>
      <c r="P68" s="1" t="s">
        <v>17</v>
      </c>
      <c r="Q68" s="2"/>
      <c r="R68" s="1"/>
      <c r="S68" s="1"/>
      <c r="T68" s="1"/>
      <c r="U68" t="str">
        <f>TEXT(Merge2[[#This Row],[ActivityDate]],"dddd")</f>
        <v>Thursday</v>
      </c>
    </row>
    <row r="69" spans="1:21" x14ac:dyDescent="0.35">
      <c r="A69" s="1">
        <v>4020332650</v>
      </c>
      <c r="B69" s="2">
        <v>42460</v>
      </c>
      <c r="C69" s="1">
        <v>7428</v>
      </c>
      <c r="D69" s="1">
        <v>5.329999924</v>
      </c>
      <c r="E69" s="1">
        <v>5.329999924</v>
      </c>
      <c r="F69" s="1">
        <v>0</v>
      </c>
      <c r="G69" s="1">
        <v>0.87000000499999997</v>
      </c>
      <c r="H69" s="1">
        <v>0.920000017</v>
      </c>
      <c r="I69" s="1">
        <v>3.5099999899999998</v>
      </c>
      <c r="J69" s="1">
        <v>0</v>
      </c>
      <c r="K69" s="1">
        <v>18</v>
      </c>
      <c r="L69" s="1">
        <v>33</v>
      </c>
      <c r="M69" s="1">
        <v>261</v>
      </c>
      <c r="N69" s="1">
        <v>860</v>
      </c>
      <c r="O69" s="1">
        <v>3439</v>
      </c>
      <c r="P69" s="1" t="s">
        <v>19</v>
      </c>
      <c r="Q69" s="2"/>
      <c r="R69" s="1"/>
      <c r="S69" s="1"/>
      <c r="T69" s="1"/>
      <c r="U69" t="str">
        <f>TEXT(Merge2[[#This Row],[ActivityDate]],"dddd")</f>
        <v>Thursday</v>
      </c>
    </row>
    <row r="70" spans="1:21" x14ac:dyDescent="0.35">
      <c r="A70" s="1">
        <v>4057192912</v>
      </c>
      <c r="B70" s="2">
        <v>42460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1440</v>
      </c>
      <c r="O70" s="1">
        <v>1776</v>
      </c>
      <c r="P70" s="1" t="s">
        <v>17</v>
      </c>
      <c r="Q70" s="2"/>
      <c r="R70" s="1"/>
      <c r="S70" s="1"/>
      <c r="T70" s="1"/>
      <c r="U70" t="str">
        <f>TEXT(Merge2[[#This Row],[ActivityDate]],"dddd")</f>
        <v>Thursday</v>
      </c>
    </row>
    <row r="71" spans="1:21" x14ac:dyDescent="0.35">
      <c r="A71" s="1">
        <v>4319703577</v>
      </c>
      <c r="B71" s="2">
        <v>42460</v>
      </c>
      <c r="C71" s="1">
        <v>8144</v>
      </c>
      <c r="D71" s="1">
        <v>5.4600000380000004</v>
      </c>
      <c r="E71" s="1">
        <v>5.4600000380000004</v>
      </c>
      <c r="F71" s="1">
        <v>0</v>
      </c>
      <c r="G71" s="1">
        <v>0.25</v>
      </c>
      <c r="H71" s="1">
        <v>0.61000001400000003</v>
      </c>
      <c r="I71" s="1">
        <v>4.6100001339999999</v>
      </c>
      <c r="J71" s="1">
        <v>0</v>
      </c>
      <c r="K71" s="1">
        <v>4</v>
      </c>
      <c r="L71" s="1">
        <v>17</v>
      </c>
      <c r="M71" s="1">
        <v>247</v>
      </c>
      <c r="N71" s="1">
        <v>1125</v>
      </c>
      <c r="O71" s="1">
        <v>2129</v>
      </c>
      <c r="P71" s="1" t="s">
        <v>18</v>
      </c>
      <c r="Q71" s="2"/>
      <c r="R71" s="1"/>
      <c r="S71" s="1"/>
      <c r="T71" s="1"/>
      <c r="U71" t="str">
        <f>TEXT(Merge2[[#This Row],[ActivityDate]],"dddd")</f>
        <v>Thursday</v>
      </c>
    </row>
    <row r="72" spans="1:21" x14ac:dyDescent="0.35">
      <c r="A72" s="1">
        <v>4388161847</v>
      </c>
      <c r="B72" s="2">
        <v>42460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1440</v>
      </c>
      <c r="O72" s="1">
        <v>1878</v>
      </c>
      <c r="P72" s="1" t="s">
        <v>17</v>
      </c>
      <c r="Q72" s="2"/>
      <c r="R72" s="1"/>
      <c r="S72" s="1"/>
      <c r="T72" s="1"/>
      <c r="U72" t="str">
        <f>TEXT(Merge2[[#This Row],[ActivityDate]],"dddd")</f>
        <v>Thursday</v>
      </c>
    </row>
    <row r="73" spans="1:21" x14ac:dyDescent="0.35">
      <c r="A73" s="1">
        <v>4445114986</v>
      </c>
      <c r="B73" s="2">
        <v>42460</v>
      </c>
      <c r="C73" s="1">
        <v>4804</v>
      </c>
      <c r="D73" s="1">
        <v>3.2200000289999999</v>
      </c>
      <c r="E73" s="1">
        <v>3.2200000289999999</v>
      </c>
      <c r="F73" s="1">
        <v>0</v>
      </c>
      <c r="G73" s="1">
        <v>0</v>
      </c>
      <c r="H73" s="1">
        <v>0</v>
      </c>
      <c r="I73" s="1">
        <v>3.2200000289999999</v>
      </c>
      <c r="J73" s="1">
        <v>0</v>
      </c>
      <c r="K73" s="1">
        <v>0</v>
      </c>
      <c r="L73" s="1">
        <v>0</v>
      </c>
      <c r="M73" s="1">
        <v>238</v>
      </c>
      <c r="N73" s="1">
        <v>786</v>
      </c>
      <c r="O73" s="1">
        <v>2227</v>
      </c>
      <c r="P73" s="1" t="s">
        <v>17</v>
      </c>
      <c r="Q73" s="2"/>
      <c r="R73" s="1"/>
      <c r="S73" s="1"/>
      <c r="T73" s="1"/>
      <c r="U73" t="str">
        <f>TEXT(Merge2[[#This Row],[ActivityDate]],"dddd")</f>
        <v>Thursday</v>
      </c>
    </row>
    <row r="74" spans="1:21" x14ac:dyDescent="0.35">
      <c r="A74" s="1">
        <v>4702921684</v>
      </c>
      <c r="B74" s="2">
        <v>42460</v>
      </c>
      <c r="C74" s="1">
        <v>6963</v>
      </c>
      <c r="D74" s="1">
        <v>5.6500000950000002</v>
      </c>
      <c r="E74" s="1">
        <v>5.6500000950000002</v>
      </c>
      <c r="F74" s="1">
        <v>0</v>
      </c>
      <c r="G74" s="1">
        <v>0</v>
      </c>
      <c r="H74" s="1">
        <v>0</v>
      </c>
      <c r="I74" s="1">
        <v>5.6500000950000002</v>
      </c>
      <c r="J74" s="1">
        <v>0</v>
      </c>
      <c r="K74" s="1">
        <v>0</v>
      </c>
      <c r="L74" s="1">
        <v>0</v>
      </c>
      <c r="M74" s="1">
        <v>256</v>
      </c>
      <c r="N74" s="1">
        <v>759</v>
      </c>
      <c r="O74" s="1">
        <v>2895</v>
      </c>
      <c r="P74" s="1" t="s">
        <v>19</v>
      </c>
      <c r="Q74" s="2"/>
      <c r="R74" s="1"/>
      <c r="S74" s="1"/>
      <c r="T74" s="1"/>
      <c r="U74" t="str">
        <f>TEXT(Merge2[[#This Row],[ActivityDate]],"dddd")</f>
        <v>Thursday</v>
      </c>
    </row>
    <row r="75" spans="1:21" x14ac:dyDescent="0.35">
      <c r="A75" s="1">
        <v>6962181067</v>
      </c>
      <c r="B75" s="2">
        <v>42460</v>
      </c>
      <c r="C75" s="1">
        <v>14097</v>
      </c>
      <c r="D75" s="1">
        <v>9.3199996949999999</v>
      </c>
      <c r="E75" s="1">
        <v>9.3199996949999999</v>
      </c>
      <c r="F75" s="1">
        <v>0</v>
      </c>
      <c r="G75" s="1">
        <v>3.5</v>
      </c>
      <c r="H75" s="1">
        <v>1.9199999569999999</v>
      </c>
      <c r="I75" s="1">
        <v>3.9000000950000002</v>
      </c>
      <c r="J75" s="1">
        <v>0</v>
      </c>
      <c r="K75" s="1">
        <v>50</v>
      </c>
      <c r="L75" s="1">
        <v>32</v>
      </c>
      <c r="M75" s="1">
        <v>234</v>
      </c>
      <c r="N75" s="1">
        <v>595</v>
      </c>
      <c r="O75" s="1">
        <v>2188</v>
      </c>
      <c r="P75" s="1" t="s">
        <v>16</v>
      </c>
      <c r="Q75" s="2"/>
      <c r="R75" s="1"/>
      <c r="S75" s="1"/>
      <c r="T75" s="1"/>
      <c r="U75" t="str">
        <f>TEXT(Merge2[[#This Row],[ActivityDate]],"dddd")</f>
        <v>Thursday</v>
      </c>
    </row>
    <row r="76" spans="1:21" x14ac:dyDescent="0.35">
      <c r="A76" s="1">
        <v>1503960366</v>
      </c>
      <c r="B76" s="2">
        <v>42461</v>
      </c>
      <c r="C76" s="1">
        <v>12262</v>
      </c>
      <c r="D76" s="1">
        <v>7.8699998860000004</v>
      </c>
      <c r="E76" s="1">
        <v>7.8699998860000004</v>
      </c>
      <c r="F76" s="1">
        <v>0</v>
      </c>
      <c r="G76" s="1">
        <v>3.3199999330000001</v>
      </c>
      <c r="H76" s="1">
        <v>0.829999983</v>
      </c>
      <c r="I76" s="1">
        <v>3.6400001049999999</v>
      </c>
      <c r="J76" s="1">
        <v>0</v>
      </c>
      <c r="K76" s="1">
        <v>47</v>
      </c>
      <c r="L76" s="1">
        <v>21</v>
      </c>
      <c r="M76" s="1">
        <v>200</v>
      </c>
      <c r="N76" s="1">
        <v>866</v>
      </c>
      <c r="O76" s="1">
        <v>1868</v>
      </c>
      <c r="P76" s="1" t="s">
        <v>16</v>
      </c>
      <c r="Q76" s="2"/>
      <c r="R76" s="1"/>
      <c r="S76" s="1"/>
      <c r="T76" s="1"/>
      <c r="U76" t="str">
        <f>TEXT(Merge2[[#This Row],[ActivityDate]],"dddd")</f>
        <v>Friday</v>
      </c>
    </row>
    <row r="77" spans="1:21" x14ac:dyDescent="0.35">
      <c r="A77" s="1">
        <v>1624580081</v>
      </c>
      <c r="B77" s="2">
        <v>42461</v>
      </c>
      <c r="C77" s="1">
        <v>9218</v>
      </c>
      <c r="D77" s="1">
        <v>5.9899997709999999</v>
      </c>
      <c r="E77" s="1">
        <v>5.9899997709999999</v>
      </c>
      <c r="F77" s="1">
        <v>0</v>
      </c>
      <c r="G77" s="1">
        <v>0</v>
      </c>
      <c r="H77" s="1">
        <v>0</v>
      </c>
      <c r="I77" s="1">
        <v>5.9699997900000001</v>
      </c>
      <c r="J77" s="1">
        <v>0.01</v>
      </c>
      <c r="K77" s="1">
        <v>0</v>
      </c>
      <c r="L77" s="1">
        <v>0</v>
      </c>
      <c r="M77" s="1">
        <v>221</v>
      </c>
      <c r="N77" s="1">
        <v>1219</v>
      </c>
      <c r="O77" s="1">
        <v>1541</v>
      </c>
      <c r="P77" s="1" t="s">
        <v>18</v>
      </c>
      <c r="Q77" s="2"/>
      <c r="R77" s="1"/>
      <c r="S77" s="1"/>
      <c r="T77" s="1"/>
      <c r="U77" t="str">
        <f>TEXT(Merge2[[#This Row],[ActivityDate]],"dddd")</f>
        <v>Friday</v>
      </c>
    </row>
    <row r="78" spans="1:21" x14ac:dyDescent="0.35">
      <c r="A78" s="1">
        <v>1644430081</v>
      </c>
      <c r="B78" s="2">
        <v>42461</v>
      </c>
      <c r="C78" s="1">
        <v>4636</v>
      </c>
      <c r="D78" s="1">
        <v>3.4100000860000002</v>
      </c>
      <c r="E78" s="1">
        <v>3.4100000860000002</v>
      </c>
      <c r="F78" s="1">
        <v>0</v>
      </c>
      <c r="G78" s="1">
        <v>0</v>
      </c>
      <c r="H78" s="1">
        <v>0.77999997099999996</v>
      </c>
      <c r="I78" s="1">
        <v>2.5999999049999998</v>
      </c>
      <c r="J78" s="1">
        <v>2.9999998999999999E-2</v>
      </c>
      <c r="K78" s="1">
        <v>0</v>
      </c>
      <c r="L78" s="1">
        <v>16</v>
      </c>
      <c r="M78" s="1">
        <v>586</v>
      </c>
      <c r="N78" s="1">
        <v>838</v>
      </c>
      <c r="O78" s="1">
        <v>3323</v>
      </c>
      <c r="P78" s="1" t="s">
        <v>17</v>
      </c>
      <c r="Q78" s="2"/>
      <c r="R78" s="1"/>
      <c r="S78" s="1"/>
      <c r="T78" s="1"/>
      <c r="U78" t="str">
        <f>TEXT(Merge2[[#This Row],[ActivityDate]],"dddd")</f>
        <v>Friday</v>
      </c>
    </row>
    <row r="79" spans="1:21" x14ac:dyDescent="0.35">
      <c r="A79" s="1">
        <v>1844505072</v>
      </c>
      <c r="B79" s="2">
        <v>42461</v>
      </c>
      <c r="C79" s="1">
        <v>6847</v>
      </c>
      <c r="D79" s="1">
        <v>4.5300002099999999</v>
      </c>
      <c r="E79" s="1">
        <v>4.5300002099999999</v>
      </c>
      <c r="F79" s="1">
        <v>0</v>
      </c>
      <c r="G79" s="1">
        <v>0.61000001400000003</v>
      </c>
      <c r="H79" s="1">
        <v>0.37000000500000002</v>
      </c>
      <c r="I79" s="1">
        <v>3.5499999519999998</v>
      </c>
      <c r="J79" s="1">
        <v>0</v>
      </c>
      <c r="K79" s="1">
        <v>9</v>
      </c>
      <c r="L79" s="1">
        <v>9</v>
      </c>
      <c r="M79" s="1">
        <v>251</v>
      </c>
      <c r="N79" s="1">
        <v>1171</v>
      </c>
      <c r="O79" s="1">
        <v>1969</v>
      </c>
      <c r="P79" s="1" t="s">
        <v>19</v>
      </c>
      <c r="Q79" s="2"/>
      <c r="R79" s="1"/>
      <c r="S79" s="1"/>
      <c r="T79" s="1"/>
      <c r="U79" t="str">
        <f>TEXT(Merge2[[#This Row],[ActivityDate]],"dddd")</f>
        <v>Friday</v>
      </c>
    </row>
    <row r="80" spans="1:21" x14ac:dyDescent="0.35">
      <c r="A80" s="1">
        <v>1927972279</v>
      </c>
      <c r="B80" s="2">
        <v>42461</v>
      </c>
      <c r="C80" s="1">
        <v>4317</v>
      </c>
      <c r="D80" s="1">
        <v>2.9900000100000002</v>
      </c>
      <c r="E80" s="1">
        <v>2.9900000100000002</v>
      </c>
      <c r="F80" s="1">
        <v>0</v>
      </c>
      <c r="G80" s="1">
        <v>0</v>
      </c>
      <c r="H80" s="1">
        <v>0.37000000500000002</v>
      </c>
      <c r="I80" s="1">
        <v>2.619999886</v>
      </c>
      <c r="J80" s="1">
        <v>0</v>
      </c>
      <c r="K80" s="1">
        <v>0</v>
      </c>
      <c r="L80" s="1">
        <v>11</v>
      </c>
      <c r="M80" s="1">
        <v>192</v>
      </c>
      <c r="N80" s="1">
        <v>854</v>
      </c>
      <c r="O80" s="1">
        <v>2590</v>
      </c>
      <c r="P80" s="1" t="s">
        <v>17</v>
      </c>
      <c r="Q80" s="2"/>
      <c r="R80" s="1"/>
      <c r="S80" s="1"/>
      <c r="T80" s="1"/>
      <c r="U80" t="str">
        <f>TEXT(Merge2[[#This Row],[ActivityDate]],"dddd")</f>
        <v>Friday</v>
      </c>
    </row>
    <row r="81" spans="1:21" x14ac:dyDescent="0.35">
      <c r="A81" s="1">
        <v>2022484408</v>
      </c>
      <c r="B81" s="2">
        <v>42461</v>
      </c>
      <c r="C81" s="1">
        <v>13603</v>
      </c>
      <c r="D81" s="1">
        <v>9.6000003809999992</v>
      </c>
      <c r="E81" s="1">
        <v>9.6000003809999992</v>
      </c>
      <c r="F81" s="1">
        <v>0</v>
      </c>
      <c r="G81" s="1">
        <v>5.4600000380000004</v>
      </c>
      <c r="H81" s="1">
        <v>0.62999999500000003</v>
      </c>
      <c r="I81" s="1">
        <v>3.5099999899999998</v>
      </c>
      <c r="J81" s="1">
        <v>0</v>
      </c>
      <c r="K81" s="1">
        <v>72</v>
      </c>
      <c r="L81" s="1">
        <v>16</v>
      </c>
      <c r="M81" s="1">
        <v>213</v>
      </c>
      <c r="N81" s="1">
        <v>1139</v>
      </c>
      <c r="O81" s="1">
        <v>2645</v>
      </c>
      <c r="P81" s="1" t="s">
        <v>16</v>
      </c>
      <c r="Q81" s="2"/>
      <c r="R81" s="1"/>
      <c r="S81" s="1"/>
      <c r="T81" s="1"/>
      <c r="U81" t="str">
        <f>TEXT(Merge2[[#This Row],[ActivityDate]],"dddd")</f>
        <v>Friday</v>
      </c>
    </row>
    <row r="82" spans="1:21" x14ac:dyDescent="0.35">
      <c r="A82" s="1">
        <v>2026352035</v>
      </c>
      <c r="B82" s="2">
        <v>42461</v>
      </c>
      <c r="C82" s="1">
        <v>2605</v>
      </c>
      <c r="D82" s="1">
        <v>1.6200000050000001</v>
      </c>
      <c r="E82" s="1">
        <v>1.6200000050000001</v>
      </c>
      <c r="F82" s="1">
        <v>0</v>
      </c>
      <c r="G82" s="1">
        <v>0</v>
      </c>
      <c r="H82" s="1">
        <v>0</v>
      </c>
      <c r="I82" s="1">
        <v>1.6200000050000001</v>
      </c>
      <c r="J82" s="1">
        <v>0</v>
      </c>
      <c r="K82" s="1">
        <v>0</v>
      </c>
      <c r="L82" s="1">
        <v>0</v>
      </c>
      <c r="M82" s="1">
        <v>166</v>
      </c>
      <c r="N82" s="1">
        <v>729</v>
      </c>
      <c r="O82" s="1">
        <v>1407</v>
      </c>
      <c r="P82" s="1" t="s">
        <v>17</v>
      </c>
      <c r="Q82" s="2"/>
      <c r="R82" s="1"/>
      <c r="S82" s="1"/>
      <c r="T82" s="1"/>
      <c r="U82" t="str">
        <f>TEXT(Merge2[[#This Row],[ActivityDate]],"dddd")</f>
        <v>Friday</v>
      </c>
    </row>
    <row r="83" spans="1:21" x14ac:dyDescent="0.35">
      <c r="A83" s="1">
        <v>2320127002</v>
      </c>
      <c r="B83" s="2">
        <v>42461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1440</v>
      </c>
      <c r="O83" s="1">
        <v>1324</v>
      </c>
      <c r="P83" s="1" t="s">
        <v>17</v>
      </c>
      <c r="Q83" s="2"/>
      <c r="R83" s="1"/>
      <c r="S83" s="1"/>
      <c r="T83" s="1"/>
      <c r="U83" t="str">
        <f>TEXT(Merge2[[#This Row],[ActivityDate]],"dddd")</f>
        <v>Friday</v>
      </c>
    </row>
    <row r="84" spans="1:21" x14ac:dyDescent="0.35">
      <c r="A84" s="1">
        <v>2347167796</v>
      </c>
      <c r="B84" s="2">
        <v>42461</v>
      </c>
      <c r="C84" s="1">
        <v>8328</v>
      </c>
      <c r="D84" s="1">
        <v>5.5100002290000001</v>
      </c>
      <c r="E84" s="1">
        <v>5.5100002290000001</v>
      </c>
      <c r="F84" s="1">
        <v>0</v>
      </c>
      <c r="G84" s="1">
        <v>0</v>
      </c>
      <c r="H84" s="1">
        <v>2</v>
      </c>
      <c r="I84" s="1">
        <v>3.5</v>
      </c>
      <c r="J84" s="1">
        <v>0</v>
      </c>
      <c r="K84" s="1">
        <v>0</v>
      </c>
      <c r="L84" s="1">
        <v>33</v>
      </c>
      <c r="M84" s="1">
        <v>212</v>
      </c>
      <c r="N84" s="1">
        <v>804</v>
      </c>
      <c r="O84" s="1">
        <v>1935</v>
      </c>
      <c r="P84" s="1" t="s">
        <v>18</v>
      </c>
      <c r="Q84" s="2"/>
      <c r="R84" s="1"/>
      <c r="S84" s="1"/>
      <c r="T84" s="1"/>
      <c r="U84" t="str">
        <f>TEXT(Merge2[[#This Row],[ActivityDate]],"dddd")</f>
        <v>Friday</v>
      </c>
    </row>
    <row r="85" spans="1:21" x14ac:dyDescent="0.35">
      <c r="A85" s="1">
        <v>2873212765</v>
      </c>
      <c r="B85" s="2">
        <v>42461</v>
      </c>
      <c r="C85" s="1">
        <v>890</v>
      </c>
      <c r="D85" s="1">
        <v>0.60000002399999997</v>
      </c>
      <c r="E85" s="1">
        <v>0.60000002399999997</v>
      </c>
      <c r="F85" s="1">
        <v>0</v>
      </c>
      <c r="G85" s="1">
        <v>0</v>
      </c>
      <c r="H85" s="1">
        <v>0</v>
      </c>
      <c r="I85" s="1">
        <v>0.60000002399999997</v>
      </c>
      <c r="J85" s="1">
        <v>0</v>
      </c>
      <c r="K85" s="1">
        <v>0</v>
      </c>
      <c r="L85" s="1">
        <v>0</v>
      </c>
      <c r="M85" s="1">
        <v>41</v>
      </c>
      <c r="N85" s="1">
        <v>1399</v>
      </c>
      <c r="O85" s="1">
        <v>1335</v>
      </c>
      <c r="P85" s="1" t="s">
        <v>17</v>
      </c>
      <c r="Q85" s="2"/>
      <c r="R85" s="1"/>
      <c r="S85" s="1"/>
      <c r="T85" s="1"/>
      <c r="U85" t="str">
        <f>TEXT(Merge2[[#This Row],[ActivityDate]],"dddd")</f>
        <v>Friday</v>
      </c>
    </row>
    <row r="86" spans="1:21" x14ac:dyDescent="0.35">
      <c r="A86" s="1">
        <v>2891001357</v>
      </c>
      <c r="B86" s="2">
        <v>42461</v>
      </c>
      <c r="C86" s="1">
        <v>0</v>
      </c>
      <c r="D86" s="1">
        <v>0</v>
      </c>
      <c r="E86" s="1">
        <v>0</v>
      </c>
      <c r="F86" s="1">
        <v>4.828032017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660</v>
      </c>
      <c r="M86" s="1">
        <v>0</v>
      </c>
      <c r="N86" s="1">
        <v>780</v>
      </c>
      <c r="O86" s="1">
        <v>4562</v>
      </c>
      <c r="P86" s="1" t="s">
        <v>17</v>
      </c>
      <c r="Q86" s="2"/>
      <c r="R86" s="1"/>
      <c r="S86" s="1"/>
      <c r="T86" s="1"/>
      <c r="U86" t="str">
        <f>TEXT(Merge2[[#This Row],[ActivityDate]],"dddd")</f>
        <v>Friday</v>
      </c>
    </row>
    <row r="87" spans="1:21" x14ac:dyDescent="0.35">
      <c r="A87" s="1">
        <v>3372868164</v>
      </c>
      <c r="B87" s="2">
        <v>42461</v>
      </c>
      <c r="C87" s="1">
        <v>5785</v>
      </c>
      <c r="D87" s="1">
        <v>3.9500000480000002</v>
      </c>
      <c r="E87" s="1">
        <v>3.9500000480000002</v>
      </c>
      <c r="F87" s="1">
        <v>0</v>
      </c>
      <c r="G87" s="1">
        <v>0</v>
      </c>
      <c r="H87" s="1">
        <v>0</v>
      </c>
      <c r="I87" s="1">
        <v>3.9100000860000002</v>
      </c>
      <c r="J87" s="1">
        <v>3.9999999000000001E-2</v>
      </c>
      <c r="K87" s="1">
        <v>0</v>
      </c>
      <c r="L87" s="1">
        <v>0</v>
      </c>
      <c r="M87" s="1">
        <v>311</v>
      </c>
      <c r="N87" s="1">
        <v>1129</v>
      </c>
      <c r="O87" s="1">
        <v>1852</v>
      </c>
      <c r="P87" s="1" t="s">
        <v>19</v>
      </c>
      <c r="Q87" s="2"/>
      <c r="R87" s="1"/>
      <c r="S87" s="1"/>
      <c r="T87" s="1"/>
      <c r="U87" t="str">
        <f>TEXT(Merge2[[#This Row],[ActivityDate]],"dddd")</f>
        <v>Friday</v>
      </c>
    </row>
    <row r="88" spans="1:21" x14ac:dyDescent="0.35">
      <c r="A88" s="1">
        <v>3977333714</v>
      </c>
      <c r="B88" s="2">
        <v>42461</v>
      </c>
      <c r="C88" s="1">
        <v>4499</v>
      </c>
      <c r="D88" s="1">
        <v>3.0099999899999998</v>
      </c>
      <c r="E88" s="1">
        <v>3.0099999899999998</v>
      </c>
      <c r="F88" s="1">
        <v>0</v>
      </c>
      <c r="G88" s="1">
        <v>0</v>
      </c>
      <c r="H88" s="1">
        <v>0</v>
      </c>
      <c r="I88" s="1">
        <v>3.0099999899999998</v>
      </c>
      <c r="J88" s="1">
        <v>0</v>
      </c>
      <c r="K88" s="1">
        <v>0</v>
      </c>
      <c r="L88" s="1">
        <v>0</v>
      </c>
      <c r="M88" s="1">
        <v>168</v>
      </c>
      <c r="N88" s="1">
        <v>842</v>
      </c>
      <c r="O88" s="1">
        <v>1288</v>
      </c>
      <c r="P88" s="1" t="s">
        <v>17</v>
      </c>
      <c r="Q88" s="2"/>
      <c r="R88" s="1"/>
      <c r="S88" s="1"/>
      <c r="T88" s="1"/>
      <c r="U88" t="str">
        <f>TEXT(Merge2[[#This Row],[ActivityDate]],"dddd")</f>
        <v>Friday</v>
      </c>
    </row>
    <row r="89" spans="1:21" x14ac:dyDescent="0.35">
      <c r="A89" s="1">
        <v>4020332650</v>
      </c>
      <c r="B89" s="2">
        <v>42461</v>
      </c>
      <c r="C89" s="1">
        <v>5351</v>
      </c>
      <c r="D89" s="1">
        <v>3.8399999139999998</v>
      </c>
      <c r="E89" s="1">
        <v>3.8399999139999998</v>
      </c>
      <c r="F89" s="1">
        <v>0</v>
      </c>
      <c r="G89" s="1">
        <v>0.62000000499999997</v>
      </c>
      <c r="H89" s="1">
        <v>0.18000000699999999</v>
      </c>
      <c r="I89" s="1">
        <v>3.0099999899999998</v>
      </c>
      <c r="J89" s="1">
        <v>0</v>
      </c>
      <c r="K89" s="1">
        <v>15</v>
      </c>
      <c r="L89" s="1">
        <v>17</v>
      </c>
      <c r="M89" s="1">
        <v>210</v>
      </c>
      <c r="N89" s="1">
        <v>748</v>
      </c>
      <c r="O89" s="1">
        <v>3338</v>
      </c>
      <c r="P89" s="1" t="s">
        <v>19</v>
      </c>
      <c r="Q89" s="2"/>
      <c r="R89" s="1"/>
      <c r="S89" s="1"/>
      <c r="T89" s="1"/>
      <c r="U89" t="str">
        <f>TEXT(Merge2[[#This Row],[ActivityDate]],"dddd")</f>
        <v>Friday</v>
      </c>
    </row>
    <row r="90" spans="1:21" x14ac:dyDescent="0.35">
      <c r="A90" s="1">
        <v>4057192912</v>
      </c>
      <c r="B90" s="2">
        <v>42461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1440</v>
      </c>
      <c r="O90" s="1">
        <v>1776</v>
      </c>
      <c r="P90" s="1" t="s">
        <v>17</v>
      </c>
      <c r="Q90" s="2"/>
      <c r="R90" s="1"/>
      <c r="S90" s="1"/>
      <c r="T90" s="1"/>
      <c r="U90" t="str">
        <f>TEXT(Merge2[[#This Row],[ActivityDate]],"dddd")</f>
        <v>Friday</v>
      </c>
    </row>
    <row r="91" spans="1:21" x14ac:dyDescent="0.35">
      <c r="A91" s="1">
        <v>4319703577</v>
      </c>
      <c r="B91" s="2">
        <v>42461</v>
      </c>
      <c r="C91" s="1">
        <v>9343</v>
      </c>
      <c r="D91" s="1">
        <v>6.2699999809999998</v>
      </c>
      <c r="E91" s="1">
        <v>6.2699999809999998</v>
      </c>
      <c r="F91" s="1">
        <v>0</v>
      </c>
      <c r="G91" s="1">
        <v>0.959999979</v>
      </c>
      <c r="H91" s="1">
        <v>0.85000002399999997</v>
      </c>
      <c r="I91" s="1">
        <v>4.4600000380000004</v>
      </c>
      <c r="J91" s="1">
        <v>0</v>
      </c>
      <c r="K91" s="1">
        <v>14</v>
      </c>
      <c r="L91" s="1">
        <v>20</v>
      </c>
      <c r="M91" s="1">
        <v>268</v>
      </c>
      <c r="N91" s="1">
        <v>654</v>
      </c>
      <c r="O91" s="1">
        <v>2216</v>
      </c>
      <c r="P91" s="1" t="s">
        <v>18</v>
      </c>
      <c r="Q91" s="2"/>
      <c r="R91" s="1"/>
      <c r="S91" s="1"/>
      <c r="T91" s="1"/>
      <c r="U91" t="str">
        <f>TEXT(Merge2[[#This Row],[ActivityDate]],"dddd")</f>
        <v>Friday</v>
      </c>
    </row>
    <row r="92" spans="1:21" x14ac:dyDescent="0.35">
      <c r="A92" s="1">
        <v>4388161847</v>
      </c>
      <c r="B92" s="2">
        <v>42461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1440</v>
      </c>
      <c r="O92" s="1">
        <v>1878</v>
      </c>
      <c r="P92" s="1" t="s">
        <v>17</v>
      </c>
      <c r="Q92" s="2"/>
      <c r="R92" s="1"/>
      <c r="S92" s="1"/>
      <c r="T92" s="1"/>
      <c r="U92" t="str">
        <f>TEXT(Merge2[[#This Row],[ActivityDate]],"dddd")</f>
        <v>Friday</v>
      </c>
    </row>
    <row r="93" spans="1:21" x14ac:dyDescent="0.35">
      <c r="A93" s="1">
        <v>4445114986</v>
      </c>
      <c r="B93" s="2">
        <v>42461</v>
      </c>
      <c r="C93" s="1">
        <v>3271</v>
      </c>
      <c r="D93" s="1">
        <v>2.1900000569999998</v>
      </c>
      <c r="E93" s="1">
        <v>2.1900000569999998</v>
      </c>
      <c r="F93" s="1">
        <v>0</v>
      </c>
      <c r="G93" s="1">
        <v>0</v>
      </c>
      <c r="H93" s="1">
        <v>0</v>
      </c>
      <c r="I93" s="1">
        <v>2.1900000569999998</v>
      </c>
      <c r="J93" s="1">
        <v>0</v>
      </c>
      <c r="K93" s="1">
        <v>0</v>
      </c>
      <c r="L93" s="1">
        <v>0</v>
      </c>
      <c r="M93" s="1">
        <v>205</v>
      </c>
      <c r="N93" s="1">
        <v>898</v>
      </c>
      <c r="O93" s="1">
        <v>2133</v>
      </c>
      <c r="P93" s="1" t="s">
        <v>17</v>
      </c>
      <c r="Q93" s="2"/>
      <c r="R93" s="1"/>
      <c r="S93" s="1"/>
      <c r="T93" s="1"/>
      <c r="U93" t="str">
        <f>TEXT(Merge2[[#This Row],[ActivityDate]],"dddd")</f>
        <v>Friday</v>
      </c>
    </row>
    <row r="94" spans="1:21" x14ac:dyDescent="0.35">
      <c r="A94" s="1">
        <v>4558609924</v>
      </c>
      <c r="B94" s="2">
        <v>42461</v>
      </c>
      <c r="C94" s="1">
        <v>5336</v>
      </c>
      <c r="D94" s="1">
        <v>3.5299999710000001</v>
      </c>
      <c r="E94" s="1">
        <v>3.5299999710000001</v>
      </c>
      <c r="F94" s="1">
        <v>0</v>
      </c>
      <c r="G94" s="1">
        <v>0</v>
      </c>
      <c r="H94" s="1">
        <v>0</v>
      </c>
      <c r="I94" s="1">
        <v>3.5299999710000001</v>
      </c>
      <c r="J94" s="1">
        <v>0</v>
      </c>
      <c r="K94" s="1">
        <v>0</v>
      </c>
      <c r="L94" s="1">
        <v>0</v>
      </c>
      <c r="M94" s="1">
        <v>258</v>
      </c>
      <c r="N94" s="1">
        <v>1182</v>
      </c>
      <c r="O94" s="1">
        <v>1902</v>
      </c>
      <c r="P94" s="1" t="s">
        <v>19</v>
      </c>
      <c r="Q94" s="2"/>
      <c r="R94" s="1"/>
      <c r="S94" s="1"/>
      <c r="T94" s="1"/>
      <c r="U94" t="str">
        <f>TEXT(Merge2[[#This Row],[ActivityDate]],"dddd")</f>
        <v>Friday</v>
      </c>
    </row>
    <row r="95" spans="1:21" x14ac:dyDescent="0.35">
      <c r="A95" s="1">
        <v>4702921684</v>
      </c>
      <c r="B95" s="2">
        <v>42461</v>
      </c>
      <c r="C95" s="1">
        <v>7165</v>
      </c>
      <c r="D95" s="1">
        <v>5.8099999430000002</v>
      </c>
      <c r="E95" s="1">
        <v>5.8099999430000002</v>
      </c>
      <c r="F95" s="1">
        <v>0</v>
      </c>
      <c r="G95" s="1">
        <v>0</v>
      </c>
      <c r="H95" s="1">
        <v>0.37000000500000002</v>
      </c>
      <c r="I95" s="1">
        <v>5.4400000569999998</v>
      </c>
      <c r="J95" s="1">
        <v>0</v>
      </c>
      <c r="K95" s="1">
        <v>0</v>
      </c>
      <c r="L95" s="1">
        <v>9</v>
      </c>
      <c r="M95" s="1">
        <v>248</v>
      </c>
      <c r="N95" s="1">
        <v>708</v>
      </c>
      <c r="O95" s="1">
        <v>2923</v>
      </c>
      <c r="P95" s="1" t="s">
        <v>19</v>
      </c>
      <c r="Q95" s="2"/>
      <c r="R95" s="1"/>
      <c r="S95" s="1"/>
      <c r="T95" s="1"/>
      <c r="U95" t="str">
        <f>TEXT(Merge2[[#This Row],[ActivityDate]],"dddd")</f>
        <v>Friday</v>
      </c>
    </row>
    <row r="96" spans="1:21" x14ac:dyDescent="0.35">
      <c r="A96" s="1">
        <v>5553957443</v>
      </c>
      <c r="B96" s="2">
        <v>42461</v>
      </c>
      <c r="C96" s="1">
        <v>12409</v>
      </c>
      <c r="D96" s="1">
        <v>8.1000003809999992</v>
      </c>
      <c r="E96" s="1">
        <v>8.1000003809999992</v>
      </c>
      <c r="F96" s="1">
        <v>0</v>
      </c>
      <c r="G96" s="1">
        <v>2.9000000950000002</v>
      </c>
      <c r="H96" s="1">
        <v>0.62999999500000003</v>
      </c>
      <c r="I96" s="1">
        <v>4.579999924</v>
      </c>
      <c r="J96" s="1">
        <v>0</v>
      </c>
      <c r="K96" s="1">
        <v>51</v>
      </c>
      <c r="L96" s="1">
        <v>12</v>
      </c>
      <c r="M96" s="1">
        <v>235</v>
      </c>
      <c r="N96" s="1">
        <v>782</v>
      </c>
      <c r="O96" s="1">
        <v>2142</v>
      </c>
      <c r="P96" s="1" t="s">
        <v>16</v>
      </c>
      <c r="Q96" s="2"/>
      <c r="R96" s="1"/>
      <c r="S96" s="1"/>
      <c r="T96" s="1"/>
      <c r="U96" t="str">
        <f>TEXT(Merge2[[#This Row],[ActivityDate]],"dddd")</f>
        <v>Friday</v>
      </c>
    </row>
    <row r="97" spans="1:21" x14ac:dyDescent="0.35">
      <c r="A97" s="1">
        <v>5577150313</v>
      </c>
      <c r="B97" s="2">
        <v>42461</v>
      </c>
      <c r="C97" s="1">
        <v>10461</v>
      </c>
      <c r="D97" s="1">
        <v>7.8699998860000004</v>
      </c>
      <c r="E97" s="1">
        <v>7.8699998860000004</v>
      </c>
      <c r="F97" s="1">
        <v>0</v>
      </c>
      <c r="G97" s="1">
        <v>4.7600002290000001</v>
      </c>
      <c r="H97" s="1">
        <v>0.85000002399999997</v>
      </c>
      <c r="I97" s="1">
        <v>2.25</v>
      </c>
      <c r="J97" s="1">
        <v>0</v>
      </c>
      <c r="K97" s="1">
        <v>99</v>
      </c>
      <c r="L97" s="1">
        <v>31</v>
      </c>
      <c r="M97" s="1">
        <v>142</v>
      </c>
      <c r="N97" s="1">
        <v>721</v>
      </c>
      <c r="O97" s="1">
        <v>3625</v>
      </c>
      <c r="P97" s="1" t="s">
        <v>16</v>
      </c>
      <c r="Q97" s="2"/>
      <c r="R97" s="1"/>
      <c r="S97" s="1"/>
      <c r="T97" s="1"/>
      <c r="U97" t="str">
        <f>TEXT(Merge2[[#This Row],[ActivityDate]],"dddd")</f>
        <v>Friday</v>
      </c>
    </row>
    <row r="98" spans="1:21" x14ac:dyDescent="0.35">
      <c r="A98" s="1">
        <v>6117666160</v>
      </c>
      <c r="B98" s="2">
        <v>42461</v>
      </c>
      <c r="C98" s="1">
        <v>7444</v>
      </c>
      <c r="D98" s="1">
        <v>5.6199998860000004</v>
      </c>
      <c r="E98" s="1">
        <v>5.6199998860000004</v>
      </c>
      <c r="F98" s="1">
        <v>0</v>
      </c>
      <c r="G98" s="1">
        <v>0</v>
      </c>
      <c r="H98" s="1">
        <v>0</v>
      </c>
      <c r="I98" s="1">
        <v>5.6199998860000004</v>
      </c>
      <c r="J98" s="1">
        <v>0</v>
      </c>
      <c r="K98" s="1">
        <v>0</v>
      </c>
      <c r="L98" s="1">
        <v>0</v>
      </c>
      <c r="M98" s="1">
        <v>286</v>
      </c>
      <c r="N98" s="1">
        <v>568</v>
      </c>
      <c r="O98" s="1">
        <v>2210</v>
      </c>
      <c r="P98" s="1" t="s">
        <v>19</v>
      </c>
      <c r="Q98" s="2"/>
      <c r="R98" s="1"/>
      <c r="S98" s="1"/>
      <c r="T98" s="1"/>
      <c r="U98" t="str">
        <f>TEXT(Merge2[[#This Row],[ActivityDate]],"dddd")</f>
        <v>Friday</v>
      </c>
    </row>
    <row r="99" spans="1:21" x14ac:dyDescent="0.35">
      <c r="A99" s="1">
        <v>6290855005</v>
      </c>
      <c r="B99" s="2">
        <v>42461</v>
      </c>
      <c r="C99" s="1">
        <v>6633</v>
      </c>
      <c r="D99" s="1">
        <v>5.0100002290000001</v>
      </c>
      <c r="E99" s="1">
        <v>5.0100002290000001</v>
      </c>
      <c r="F99" s="1">
        <v>0</v>
      </c>
      <c r="G99" s="1">
        <v>0</v>
      </c>
      <c r="H99" s="1">
        <v>0</v>
      </c>
      <c r="I99" s="1">
        <v>5.0100002290000001</v>
      </c>
      <c r="J99" s="1">
        <v>0</v>
      </c>
      <c r="K99" s="1">
        <v>0</v>
      </c>
      <c r="L99" s="1">
        <v>0</v>
      </c>
      <c r="M99" s="1">
        <v>280</v>
      </c>
      <c r="N99" s="1">
        <v>1160</v>
      </c>
      <c r="O99" s="1">
        <v>2778</v>
      </c>
      <c r="P99" s="1" t="s">
        <v>19</v>
      </c>
      <c r="Q99" s="2"/>
      <c r="R99" s="1"/>
      <c r="S99" s="1"/>
      <c r="T99" s="1"/>
      <c r="U99" t="str">
        <f>TEXT(Merge2[[#This Row],[ActivityDate]],"dddd")</f>
        <v>Friday</v>
      </c>
    </row>
    <row r="100" spans="1:21" x14ac:dyDescent="0.35">
      <c r="A100" s="1">
        <v>6391747486</v>
      </c>
      <c r="B100" s="2">
        <v>42461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1440</v>
      </c>
      <c r="O100" s="1">
        <v>1820</v>
      </c>
      <c r="P100" s="1" t="s">
        <v>17</v>
      </c>
      <c r="Q100" s="2"/>
      <c r="R100" s="1"/>
      <c r="S100" s="1"/>
      <c r="T100" s="1"/>
      <c r="U100" t="str">
        <f>TEXT(Merge2[[#This Row],[ActivityDate]],"dddd")</f>
        <v>Friday</v>
      </c>
    </row>
    <row r="101" spans="1:21" x14ac:dyDescent="0.35">
      <c r="A101" s="1">
        <v>6775888955</v>
      </c>
      <c r="B101" s="2">
        <v>42461</v>
      </c>
      <c r="C101" s="1">
        <v>7225</v>
      </c>
      <c r="D101" s="1">
        <v>5.1799998279999997</v>
      </c>
      <c r="E101" s="1">
        <v>5.1799998279999997</v>
      </c>
      <c r="F101" s="1">
        <v>0</v>
      </c>
      <c r="G101" s="1">
        <v>1.730000019</v>
      </c>
      <c r="H101" s="1">
        <v>1.269999981</v>
      </c>
      <c r="I101" s="1">
        <v>2.1800000669999999</v>
      </c>
      <c r="J101" s="1">
        <v>0</v>
      </c>
      <c r="K101" s="1">
        <v>25</v>
      </c>
      <c r="L101" s="1">
        <v>50</v>
      </c>
      <c r="M101" s="1">
        <v>163</v>
      </c>
      <c r="N101" s="1">
        <v>1189</v>
      </c>
      <c r="O101" s="1">
        <v>3065</v>
      </c>
      <c r="P101" s="1" t="s">
        <v>19</v>
      </c>
      <c r="Q101" s="2"/>
      <c r="R101" s="1"/>
      <c r="S101" s="1"/>
      <c r="T101" s="1"/>
      <c r="U101" t="str">
        <f>TEXT(Merge2[[#This Row],[ActivityDate]],"dddd")</f>
        <v>Friday</v>
      </c>
    </row>
    <row r="102" spans="1:21" x14ac:dyDescent="0.35">
      <c r="A102" s="1">
        <v>6962181067</v>
      </c>
      <c r="B102" s="2">
        <v>42461</v>
      </c>
      <c r="C102" s="1">
        <v>10467</v>
      </c>
      <c r="D102" s="1">
        <v>6.9800000190000002</v>
      </c>
      <c r="E102" s="1">
        <v>6.9800000190000002</v>
      </c>
      <c r="F102" s="1">
        <v>0</v>
      </c>
      <c r="G102" s="1">
        <v>0.69999998799999996</v>
      </c>
      <c r="H102" s="1">
        <v>2.4300000669999999</v>
      </c>
      <c r="I102" s="1">
        <v>3.8499999049999998</v>
      </c>
      <c r="J102" s="1">
        <v>0</v>
      </c>
      <c r="K102" s="1">
        <v>9</v>
      </c>
      <c r="L102" s="1">
        <v>45</v>
      </c>
      <c r="M102" s="1">
        <v>252</v>
      </c>
      <c r="N102" s="1">
        <v>602</v>
      </c>
      <c r="O102" s="1">
        <v>2014</v>
      </c>
      <c r="P102" s="1" t="s">
        <v>16</v>
      </c>
      <c r="Q102" s="2"/>
      <c r="R102" s="1"/>
      <c r="S102" s="1"/>
      <c r="T102" s="1"/>
      <c r="U102" t="str">
        <f>TEXT(Merge2[[#This Row],[ActivityDate]],"dddd")</f>
        <v>Friday</v>
      </c>
    </row>
    <row r="103" spans="1:21" x14ac:dyDescent="0.35">
      <c r="A103" s="1">
        <v>7007744171</v>
      </c>
      <c r="B103" s="2">
        <v>42461</v>
      </c>
      <c r="C103" s="1">
        <v>11680</v>
      </c>
      <c r="D103" s="1">
        <v>9.0600004199999997</v>
      </c>
      <c r="E103" s="1">
        <v>7.8099999430000002</v>
      </c>
      <c r="F103" s="1">
        <v>4.9012827870000004</v>
      </c>
      <c r="G103" s="1">
        <v>4.4899997709999999</v>
      </c>
      <c r="H103" s="1">
        <v>0.33000001299999998</v>
      </c>
      <c r="I103" s="1">
        <v>4.2399997709999999</v>
      </c>
      <c r="J103" s="1">
        <v>0</v>
      </c>
      <c r="K103" s="1">
        <v>50</v>
      </c>
      <c r="L103" s="1">
        <v>7</v>
      </c>
      <c r="M103" s="1">
        <v>244</v>
      </c>
      <c r="N103" s="1">
        <v>1139</v>
      </c>
      <c r="O103" s="1">
        <v>2573</v>
      </c>
      <c r="P103" s="1" t="s">
        <v>16</v>
      </c>
      <c r="Q103" s="2"/>
      <c r="R103" s="1"/>
      <c r="S103" s="1"/>
      <c r="T103" s="1"/>
      <c r="U103" t="str">
        <f>TEXT(Merge2[[#This Row],[ActivityDate]],"dddd")</f>
        <v>Friday</v>
      </c>
    </row>
    <row r="104" spans="1:21" x14ac:dyDescent="0.35">
      <c r="A104" s="1">
        <v>7086361926</v>
      </c>
      <c r="B104" s="2">
        <v>42461</v>
      </c>
      <c r="C104" s="1">
        <v>11463</v>
      </c>
      <c r="D104" s="1">
        <v>7.670000076</v>
      </c>
      <c r="E104" s="1">
        <v>7.670000076</v>
      </c>
      <c r="F104" s="1">
        <v>0</v>
      </c>
      <c r="G104" s="1">
        <v>2.829999924</v>
      </c>
      <c r="H104" s="1">
        <v>1.8899999860000001</v>
      </c>
      <c r="I104" s="1">
        <v>2.9300000669999999</v>
      </c>
      <c r="J104" s="1">
        <v>0</v>
      </c>
      <c r="K104" s="1">
        <v>38</v>
      </c>
      <c r="L104" s="1">
        <v>30</v>
      </c>
      <c r="M104" s="1">
        <v>154</v>
      </c>
      <c r="N104" s="1">
        <v>777</v>
      </c>
      <c r="O104" s="1">
        <v>2496</v>
      </c>
      <c r="P104" s="1" t="s">
        <v>16</v>
      </c>
      <c r="Q104" s="2"/>
      <c r="R104" s="1"/>
      <c r="S104" s="1"/>
      <c r="T104" s="1"/>
      <c r="U104" t="str">
        <f>TEXT(Merge2[[#This Row],[ActivityDate]],"dddd")</f>
        <v>Friday</v>
      </c>
    </row>
    <row r="105" spans="1:21" x14ac:dyDescent="0.35">
      <c r="A105" s="1">
        <v>8253242879</v>
      </c>
      <c r="B105" s="2">
        <v>42461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1440</v>
      </c>
      <c r="O105" s="1">
        <v>1429</v>
      </c>
      <c r="P105" s="1" t="s">
        <v>17</v>
      </c>
      <c r="Q105" s="2"/>
      <c r="R105" s="1"/>
      <c r="S105" s="1"/>
      <c r="T105" s="1"/>
      <c r="U105" t="str">
        <f>TEXT(Merge2[[#This Row],[ActivityDate]],"dddd")</f>
        <v>Friday</v>
      </c>
    </row>
    <row r="106" spans="1:21" x14ac:dyDescent="0.35">
      <c r="A106" s="1">
        <v>8378563200</v>
      </c>
      <c r="B106" s="2">
        <v>42461</v>
      </c>
      <c r="C106" s="1">
        <v>14179</v>
      </c>
      <c r="D106" s="1">
        <v>11.239999770000001</v>
      </c>
      <c r="E106" s="1">
        <v>11.239999770000001</v>
      </c>
      <c r="F106" s="1">
        <v>0</v>
      </c>
      <c r="G106" s="1">
        <v>6.2300000190000002</v>
      </c>
      <c r="H106" s="1">
        <v>1.059999943</v>
      </c>
      <c r="I106" s="1">
        <v>3.960000038</v>
      </c>
      <c r="J106" s="1">
        <v>0</v>
      </c>
      <c r="K106" s="1">
        <v>73</v>
      </c>
      <c r="L106" s="1">
        <v>21</v>
      </c>
      <c r="M106" s="1">
        <v>195</v>
      </c>
      <c r="N106" s="1">
        <v>719</v>
      </c>
      <c r="O106" s="1">
        <v>3669</v>
      </c>
      <c r="P106" s="1" t="s">
        <v>16</v>
      </c>
      <c r="Q106" s="2"/>
      <c r="R106" s="1"/>
      <c r="S106" s="1"/>
      <c r="T106" s="1"/>
      <c r="U106" t="str">
        <f>TEXT(Merge2[[#This Row],[ActivityDate]],"dddd")</f>
        <v>Friday</v>
      </c>
    </row>
    <row r="107" spans="1:21" x14ac:dyDescent="0.35">
      <c r="A107" s="1">
        <v>8583815059</v>
      </c>
      <c r="B107" s="2">
        <v>42461</v>
      </c>
      <c r="C107" s="1">
        <v>2174</v>
      </c>
      <c r="D107" s="1">
        <v>1.7000000479999999</v>
      </c>
      <c r="E107" s="1">
        <v>1.7000000479999999</v>
      </c>
      <c r="F107" s="1">
        <v>0</v>
      </c>
      <c r="G107" s="1">
        <v>0</v>
      </c>
      <c r="H107" s="1">
        <v>0</v>
      </c>
      <c r="I107" s="1">
        <v>1.7000000479999999</v>
      </c>
      <c r="J107" s="1">
        <v>0</v>
      </c>
      <c r="K107" s="1">
        <v>0</v>
      </c>
      <c r="L107" s="1">
        <v>0</v>
      </c>
      <c r="M107" s="1">
        <v>112</v>
      </c>
      <c r="N107" s="1">
        <v>1328</v>
      </c>
      <c r="O107" s="1">
        <v>2360</v>
      </c>
      <c r="P107" s="1" t="s">
        <v>17</v>
      </c>
      <c r="Q107" s="2"/>
      <c r="R107" s="1"/>
      <c r="S107" s="1"/>
      <c r="T107" s="1"/>
      <c r="U107" t="str">
        <f>TEXT(Merge2[[#This Row],[ActivityDate]],"dddd")</f>
        <v>Friday</v>
      </c>
    </row>
    <row r="108" spans="1:21" x14ac:dyDescent="0.35">
      <c r="A108" s="1">
        <v>8792009665</v>
      </c>
      <c r="B108" s="2">
        <v>42461</v>
      </c>
      <c r="C108" s="1">
        <v>4592</v>
      </c>
      <c r="D108" s="1">
        <v>2.9400000569999998</v>
      </c>
      <c r="E108" s="1">
        <v>2.9400000569999998</v>
      </c>
      <c r="F108" s="1">
        <v>0</v>
      </c>
      <c r="G108" s="1">
        <v>0.10000000100000001</v>
      </c>
      <c r="H108" s="1">
        <v>0.14000000100000001</v>
      </c>
      <c r="I108" s="1">
        <v>2.7000000480000002</v>
      </c>
      <c r="J108" s="1">
        <v>0</v>
      </c>
      <c r="K108" s="1">
        <v>4</v>
      </c>
      <c r="L108" s="1">
        <v>8</v>
      </c>
      <c r="M108" s="1">
        <v>176</v>
      </c>
      <c r="N108" s="1">
        <v>748</v>
      </c>
      <c r="O108" s="1">
        <v>2260</v>
      </c>
      <c r="P108" s="1" t="s">
        <v>17</v>
      </c>
      <c r="Q108" s="2"/>
      <c r="R108" s="1"/>
      <c r="S108" s="1"/>
      <c r="T108" s="1"/>
      <c r="U108" t="str">
        <f>TEXT(Merge2[[#This Row],[ActivityDate]],"dddd")</f>
        <v>Friday</v>
      </c>
    </row>
    <row r="109" spans="1:21" x14ac:dyDescent="0.35">
      <c r="A109" s="1">
        <v>8877689391</v>
      </c>
      <c r="B109" s="2">
        <v>42461</v>
      </c>
      <c r="C109" s="1">
        <v>18700</v>
      </c>
      <c r="D109" s="1">
        <v>15.81999969</v>
      </c>
      <c r="E109" s="1">
        <v>15.81999969</v>
      </c>
      <c r="F109" s="1">
        <v>0</v>
      </c>
      <c r="G109" s="1">
        <v>8.6999998089999995</v>
      </c>
      <c r="H109" s="1">
        <v>0.15999999600000001</v>
      </c>
      <c r="I109" s="1">
        <v>6.9099998469999999</v>
      </c>
      <c r="J109" s="1">
        <v>0</v>
      </c>
      <c r="K109" s="1">
        <v>67</v>
      </c>
      <c r="L109" s="1">
        <v>3</v>
      </c>
      <c r="M109" s="1">
        <v>247</v>
      </c>
      <c r="N109" s="1">
        <v>1123</v>
      </c>
      <c r="O109" s="1">
        <v>3527</v>
      </c>
      <c r="P109" s="1" t="s">
        <v>16</v>
      </c>
      <c r="Q109" s="2"/>
      <c r="R109" s="1"/>
      <c r="S109" s="1"/>
      <c r="T109" s="1"/>
      <c r="U109" t="str">
        <f>TEXT(Merge2[[#This Row],[ActivityDate]],"dddd")</f>
        <v>Friday</v>
      </c>
    </row>
    <row r="110" spans="1:21" x14ac:dyDescent="0.35">
      <c r="A110" s="1">
        <v>1503960366</v>
      </c>
      <c r="B110" s="2">
        <v>42462</v>
      </c>
      <c r="C110" s="1">
        <v>11248</v>
      </c>
      <c r="D110" s="1">
        <v>7.25</v>
      </c>
      <c r="E110" s="1">
        <v>7.25</v>
      </c>
      <c r="F110" s="1">
        <v>0</v>
      </c>
      <c r="G110" s="1">
        <v>3</v>
      </c>
      <c r="H110" s="1">
        <v>0.44999998800000002</v>
      </c>
      <c r="I110" s="1">
        <v>3.7400000100000002</v>
      </c>
      <c r="J110" s="1">
        <v>0</v>
      </c>
      <c r="K110" s="1">
        <v>40</v>
      </c>
      <c r="L110" s="1">
        <v>11</v>
      </c>
      <c r="M110" s="1">
        <v>244</v>
      </c>
      <c r="N110" s="1">
        <v>636</v>
      </c>
      <c r="O110" s="1">
        <v>1843</v>
      </c>
      <c r="P110" s="1" t="s">
        <v>16</v>
      </c>
      <c r="Q110" s="2"/>
      <c r="R110" s="1"/>
      <c r="S110" s="1"/>
      <c r="T110" s="1"/>
      <c r="U110" t="str">
        <f>TEXT(Merge2[[#This Row],[ActivityDate]],"dddd")</f>
        <v>Saturday</v>
      </c>
    </row>
    <row r="111" spans="1:21" x14ac:dyDescent="0.35">
      <c r="A111" s="1">
        <v>1624580081</v>
      </c>
      <c r="B111" s="2">
        <v>42462</v>
      </c>
      <c r="C111" s="1">
        <v>1556</v>
      </c>
      <c r="D111" s="1">
        <v>1.0099999900000001</v>
      </c>
      <c r="E111" s="1">
        <v>1.0099999900000001</v>
      </c>
      <c r="F111" s="1">
        <v>0</v>
      </c>
      <c r="G111" s="1">
        <v>0</v>
      </c>
      <c r="H111" s="1">
        <v>0</v>
      </c>
      <c r="I111" s="1">
        <v>1.0099999900000001</v>
      </c>
      <c r="J111" s="1">
        <v>0.01</v>
      </c>
      <c r="K111" s="1">
        <v>0</v>
      </c>
      <c r="L111" s="1">
        <v>0</v>
      </c>
      <c r="M111" s="1">
        <v>88</v>
      </c>
      <c r="N111" s="1">
        <v>1352</v>
      </c>
      <c r="O111" s="1">
        <v>1327</v>
      </c>
      <c r="P111" s="1" t="s">
        <v>17</v>
      </c>
      <c r="Q111" s="2"/>
      <c r="R111" s="1"/>
      <c r="S111" s="1"/>
      <c r="T111" s="1"/>
      <c r="U111" t="str">
        <f>TEXT(Merge2[[#This Row],[ActivityDate]],"dddd")</f>
        <v>Saturday</v>
      </c>
    </row>
    <row r="112" spans="1:21" x14ac:dyDescent="0.35">
      <c r="A112" s="1">
        <v>1644430081</v>
      </c>
      <c r="B112" s="2">
        <v>42462</v>
      </c>
      <c r="C112" s="1">
        <v>20237</v>
      </c>
      <c r="D112" s="1">
        <v>14.710000040000001</v>
      </c>
      <c r="E112" s="1">
        <v>14.710000040000001</v>
      </c>
      <c r="F112" s="1">
        <v>0</v>
      </c>
      <c r="G112" s="1">
        <v>2.5699999330000001</v>
      </c>
      <c r="H112" s="1">
        <v>6.4000000950000002</v>
      </c>
      <c r="I112" s="1">
        <v>5.7300000190000002</v>
      </c>
      <c r="J112" s="1">
        <v>0.01</v>
      </c>
      <c r="K112" s="1">
        <v>34</v>
      </c>
      <c r="L112" s="1">
        <v>141</v>
      </c>
      <c r="M112" s="1">
        <v>347</v>
      </c>
      <c r="N112" s="1">
        <v>918</v>
      </c>
      <c r="O112" s="1">
        <v>4029</v>
      </c>
      <c r="P112" s="1" t="s">
        <v>16</v>
      </c>
      <c r="Q112" s="2"/>
      <c r="R112" s="1"/>
      <c r="S112" s="1"/>
      <c r="T112" s="1"/>
      <c r="U112" t="str">
        <f>TEXT(Merge2[[#This Row],[ActivityDate]],"dddd")</f>
        <v>Saturday</v>
      </c>
    </row>
    <row r="113" spans="1:21" x14ac:dyDescent="0.35">
      <c r="A113" s="1">
        <v>1844505072</v>
      </c>
      <c r="B113" s="2">
        <v>42462</v>
      </c>
      <c r="C113" s="1">
        <v>5367</v>
      </c>
      <c r="D113" s="1">
        <v>3.5499999519999998</v>
      </c>
      <c r="E113" s="1">
        <v>3.5499999519999998</v>
      </c>
      <c r="F113" s="1">
        <v>0</v>
      </c>
      <c r="G113" s="1">
        <v>0</v>
      </c>
      <c r="H113" s="1">
        <v>0</v>
      </c>
      <c r="I113" s="1">
        <v>3.5499999519999998</v>
      </c>
      <c r="J113" s="1">
        <v>0</v>
      </c>
      <c r="K113" s="1">
        <v>0</v>
      </c>
      <c r="L113" s="1">
        <v>0</v>
      </c>
      <c r="M113" s="1">
        <v>263</v>
      </c>
      <c r="N113" s="1">
        <v>1177</v>
      </c>
      <c r="O113" s="1">
        <v>1889</v>
      </c>
      <c r="P113" s="1" t="s">
        <v>19</v>
      </c>
      <c r="Q113" s="2"/>
      <c r="R113" s="1"/>
      <c r="S113" s="1"/>
      <c r="T113" s="1"/>
      <c r="U113" t="str">
        <f>TEXT(Merge2[[#This Row],[ActivityDate]],"dddd")</f>
        <v>Saturday</v>
      </c>
    </row>
    <row r="114" spans="1:21" x14ac:dyDescent="0.35">
      <c r="A114" s="1">
        <v>1927972279</v>
      </c>
      <c r="B114" s="2">
        <v>42462</v>
      </c>
      <c r="C114" s="1">
        <v>5662</v>
      </c>
      <c r="D114" s="1">
        <v>3.920000076</v>
      </c>
      <c r="E114" s="1">
        <v>3.920000076</v>
      </c>
      <c r="F114" s="1">
        <v>0</v>
      </c>
      <c r="G114" s="1">
        <v>0</v>
      </c>
      <c r="H114" s="1">
        <v>0</v>
      </c>
      <c r="I114" s="1">
        <v>3.920000076</v>
      </c>
      <c r="J114" s="1">
        <v>0</v>
      </c>
      <c r="K114" s="1">
        <v>0</v>
      </c>
      <c r="L114" s="1">
        <v>0</v>
      </c>
      <c r="M114" s="1">
        <v>267</v>
      </c>
      <c r="N114" s="1">
        <v>858</v>
      </c>
      <c r="O114" s="1">
        <v>2783</v>
      </c>
      <c r="P114" s="1" t="s">
        <v>19</v>
      </c>
      <c r="Q114" s="2"/>
      <c r="R114" s="1"/>
      <c r="S114" s="1"/>
      <c r="T114" s="1"/>
      <c r="U114" t="str">
        <f>TEXT(Merge2[[#This Row],[ActivityDate]],"dddd")</f>
        <v>Saturday</v>
      </c>
    </row>
    <row r="115" spans="1:21" x14ac:dyDescent="0.35">
      <c r="A115" s="1">
        <v>2022484408</v>
      </c>
      <c r="B115" s="2">
        <v>42462</v>
      </c>
      <c r="C115" s="1">
        <v>5477</v>
      </c>
      <c r="D115" s="1">
        <v>3.8399999139999998</v>
      </c>
      <c r="E115" s="1">
        <v>3.8399999139999998</v>
      </c>
      <c r="F115" s="1">
        <v>0</v>
      </c>
      <c r="G115" s="1">
        <v>0</v>
      </c>
      <c r="H115" s="1">
        <v>0</v>
      </c>
      <c r="I115" s="1">
        <v>3.8399999139999998</v>
      </c>
      <c r="J115" s="1">
        <v>0</v>
      </c>
      <c r="K115" s="1">
        <v>0</v>
      </c>
      <c r="L115" s="1">
        <v>0</v>
      </c>
      <c r="M115" s="1">
        <v>237</v>
      </c>
      <c r="N115" s="1">
        <v>1203</v>
      </c>
      <c r="O115" s="1">
        <v>2040</v>
      </c>
      <c r="P115" s="1" t="s">
        <v>19</v>
      </c>
      <c r="Q115" s="2"/>
      <c r="R115" s="1"/>
      <c r="S115" s="1"/>
      <c r="T115" s="1"/>
      <c r="U115" t="str">
        <f>TEXT(Merge2[[#This Row],[ActivityDate]],"dddd")</f>
        <v>Saturday</v>
      </c>
    </row>
    <row r="116" spans="1:21" x14ac:dyDescent="0.35">
      <c r="A116" s="1">
        <v>2026352035</v>
      </c>
      <c r="B116" s="2">
        <v>42462</v>
      </c>
      <c r="C116" s="1">
        <v>1229</v>
      </c>
      <c r="D116" s="1">
        <v>0.75999998999999996</v>
      </c>
      <c r="E116" s="1">
        <v>0.75999998999999996</v>
      </c>
      <c r="F116" s="1">
        <v>0</v>
      </c>
      <c r="G116" s="1">
        <v>0</v>
      </c>
      <c r="H116" s="1">
        <v>0</v>
      </c>
      <c r="I116" s="1">
        <v>0.75999998999999996</v>
      </c>
      <c r="J116" s="1">
        <v>0</v>
      </c>
      <c r="K116" s="1">
        <v>0</v>
      </c>
      <c r="L116" s="1">
        <v>0</v>
      </c>
      <c r="M116" s="1">
        <v>69</v>
      </c>
      <c r="N116" s="1">
        <v>795</v>
      </c>
      <c r="O116" s="1">
        <v>1237</v>
      </c>
      <c r="P116" s="1" t="s">
        <v>17</v>
      </c>
      <c r="Q116" s="2"/>
      <c r="R116" s="1"/>
      <c r="S116" s="1"/>
      <c r="T116" s="1"/>
      <c r="U116" t="str">
        <f>TEXT(Merge2[[#This Row],[ActivityDate]],"dddd")</f>
        <v>Saturday</v>
      </c>
    </row>
    <row r="117" spans="1:21" x14ac:dyDescent="0.35">
      <c r="A117" s="1">
        <v>2320127002</v>
      </c>
      <c r="B117" s="2">
        <v>42462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1440</v>
      </c>
      <c r="O117" s="1">
        <v>1324</v>
      </c>
      <c r="P117" s="1" t="s">
        <v>17</v>
      </c>
      <c r="Q117" s="2"/>
      <c r="R117" s="1"/>
      <c r="S117" s="1"/>
      <c r="T117" s="1"/>
      <c r="U117" t="str">
        <f>TEXT(Merge2[[#This Row],[ActivityDate]],"dddd")</f>
        <v>Saturday</v>
      </c>
    </row>
    <row r="118" spans="1:21" x14ac:dyDescent="0.35">
      <c r="A118" s="1">
        <v>2347167796</v>
      </c>
      <c r="B118" s="2">
        <v>42462</v>
      </c>
      <c r="C118" s="1">
        <v>15459</v>
      </c>
      <c r="D118" s="1">
        <v>10.22000027</v>
      </c>
      <c r="E118" s="1">
        <v>10.22000027</v>
      </c>
      <c r="F118" s="1">
        <v>0</v>
      </c>
      <c r="G118" s="1">
        <v>3.5899999139999998</v>
      </c>
      <c r="H118" s="1">
        <v>0.810000002</v>
      </c>
      <c r="I118" s="1">
        <v>5.8200001720000003</v>
      </c>
      <c r="J118" s="1">
        <v>0</v>
      </c>
      <c r="K118" s="1">
        <v>51</v>
      </c>
      <c r="L118" s="1">
        <v>16</v>
      </c>
      <c r="M118" s="1">
        <v>327</v>
      </c>
      <c r="N118" s="1">
        <v>583</v>
      </c>
      <c r="O118" s="1">
        <v>2438</v>
      </c>
      <c r="P118" s="1" t="s">
        <v>16</v>
      </c>
      <c r="Q118" s="2"/>
      <c r="R118" s="1"/>
      <c r="S118" s="1"/>
      <c r="T118" s="1"/>
      <c r="U118" t="str">
        <f>TEXT(Merge2[[#This Row],[ActivityDate]],"dddd")</f>
        <v>Saturday</v>
      </c>
    </row>
    <row r="119" spans="1:21" x14ac:dyDescent="0.35">
      <c r="A119" s="1">
        <v>2873212765</v>
      </c>
      <c r="B119" s="2">
        <v>42462</v>
      </c>
      <c r="C119" s="1">
        <v>2214</v>
      </c>
      <c r="D119" s="1">
        <v>1.4900000099999999</v>
      </c>
      <c r="E119" s="1">
        <v>1.4900000099999999</v>
      </c>
      <c r="F119" s="1">
        <v>0</v>
      </c>
      <c r="G119" s="1">
        <v>0</v>
      </c>
      <c r="H119" s="1">
        <v>0</v>
      </c>
      <c r="I119" s="1">
        <v>1.4900000099999999</v>
      </c>
      <c r="J119" s="1">
        <v>0</v>
      </c>
      <c r="K119" s="1">
        <v>0</v>
      </c>
      <c r="L119" s="1">
        <v>0</v>
      </c>
      <c r="M119" s="1">
        <v>197</v>
      </c>
      <c r="N119" s="1">
        <v>1243</v>
      </c>
      <c r="O119" s="1">
        <v>1559</v>
      </c>
      <c r="P119" s="1" t="s">
        <v>17</v>
      </c>
      <c r="Q119" s="2"/>
      <c r="R119" s="1"/>
      <c r="S119" s="1"/>
      <c r="T119" s="1"/>
      <c r="U119" t="str">
        <f>TEXT(Merge2[[#This Row],[ActivityDate]],"dddd")</f>
        <v>Saturday</v>
      </c>
    </row>
    <row r="120" spans="1:21" x14ac:dyDescent="0.35">
      <c r="A120" s="1">
        <v>2891001357</v>
      </c>
      <c r="B120" s="2">
        <v>42462</v>
      </c>
      <c r="C120" s="1">
        <v>4126</v>
      </c>
      <c r="D120" s="1">
        <v>3.2200000289999999</v>
      </c>
      <c r="E120" s="1">
        <v>0</v>
      </c>
      <c r="F120" s="1">
        <v>3.2186880109999998</v>
      </c>
      <c r="G120" s="1">
        <v>0</v>
      </c>
      <c r="H120" s="1">
        <v>0</v>
      </c>
      <c r="I120" s="1">
        <v>3.2200000289999999</v>
      </c>
      <c r="J120" s="1">
        <v>0</v>
      </c>
      <c r="K120" s="1">
        <v>0</v>
      </c>
      <c r="L120" s="1">
        <v>0</v>
      </c>
      <c r="M120" s="1">
        <v>720</v>
      </c>
      <c r="N120" s="1">
        <v>720</v>
      </c>
      <c r="O120" s="1">
        <v>2881</v>
      </c>
      <c r="P120" s="1" t="s">
        <v>17</v>
      </c>
      <c r="Q120" s="2"/>
      <c r="R120" s="1"/>
      <c r="S120" s="1"/>
      <c r="T120" s="1"/>
      <c r="U120" t="str">
        <f>TEXT(Merge2[[#This Row],[ActivityDate]],"dddd")</f>
        <v>Saturday</v>
      </c>
    </row>
    <row r="121" spans="1:21" x14ac:dyDescent="0.35">
      <c r="A121" s="1">
        <v>3372868164</v>
      </c>
      <c r="B121" s="2">
        <v>42462</v>
      </c>
      <c r="C121" s="1">
        <v>7625</v>
      </c>
      <c r="D121" s="1">
        <v>5.2300000190000002</v>
      </c>
      <c r="E121" s="1">
        <v>5.2300000190000002</v>
      </c>
      <c r="F121" s="1">
        <v>0</v>
      </c>
      <c r="G121" s="1">
        <v>1.6799999480000001</v>
      </c>
      <c r="H121" s="1">
        <v>3.9999999000000001E-2</v>
      </c>
      <c r="I121" s="1">
        <v>3.5</v>
      </c>
      <c r="J121" s="1">
        <v>0.01</v>
      </c>
      <c r="K121" s="1">
        <v>24</v>
      </c>
      <c r="L121" s="1">
        <v>1</v>
      </c>
      <c r="M121" s="1">
        <v>341</v>
      </c>
      <c r="N121" s="1">
        <v>1074</v>
      </c>
      <c r="O121" s="1">
        <v>2069</v>
      </c>
      <c r="P121" s="1" t="s">
        <v>18</v>
      </c>
      <c r="Q121" s="2"/>
      <c r="R121" s="1"/>
      <c r="S121" s="1"/>
      <c r="T121" s="1"/>
      <c r="U121" t="str">
        <f>TEXT(Merge2[[#This Row],[ActivityDate]],"dddd")</f>
        <v>Saturday</v>
      </c>
    </row>
    <row r="122" spans="1:21" x14ac:dyDescent="0.35">
      <c r="A122" s="1">
        <v>3977333714</v>
      </c>
      <c r="B122" s="2">
        <v>42462</v>
      </c>
      <c r="C122" s="1">
        <v>7618</v>
      </c>
      <c r="D122" s="1">
        <v>5.0999999049999998</v>
      </c>
      <c r="E122" s="1">
        <v>5.0999999049999998</v>
      </c>
      <c r="F122" s="1">
        <v>0</v>
      </c>
      <c r="G122" s="1">
        <v>0</v>
      </c>
      <c r="H122" s="1">
        <v>0.18000000699999999</v>
      </c>
      <c r="I122" s="1">
        <v>4.9099998469999999</v>
      </c>
      <c r="J122" s="1">
        <v>0</v>
      </c>
      <c r="K122" s="1">
        <v>0</v>
      </c>
      <c r="L122" s="1">
        <v>6</v>
      </c>
      <c r="M122" s="1">
        <v>302</v>
      </c>
      <c r="N122" s="1">
        <v>842</v>
      </c>
      <c r="O122" s="1">
        <v>1490</v>
      </c>
      <c r="P122" s="1" t="s">
        <v>18</v>
      </c>
      <c r="Q122" s="2"/>
      <c r="R122" s="1"/>
      <c r="S122" s="1"/>
      <c r="T122" s="1"/>
      <c r="U122" t="str">
        <f>TEXT(Merge2[[#This Row],[ActivityDate]],"dddd")</f>
        <v>Saturday</v>
      </c>
    </row>
    <row r="123" spans="1:21" x14ac:dyDescent="0.35">
      <c r="A123" s="1">
        <v>4020332650</v>
      </c>
      <c r="B123" s="2">
        <v>42462</v>
      </c>
      <c r="C123" s="1">
        <v>4299</v>
      </c>
      <c r="D123" s="1">
        <v>3.0999999049999998</v>
      </c>
      <c r="E123" s="1">
        <v>3.0999999049999998</v>
      </c>
      <c r="F123" s="1">
        <v>0</v>
      </c>
      <c r="G123" s="1">
        <v>9.0000003999999995E-2</v>
      </c>
      <c r="H123" s="1">
        <v>0.209999993</v>
      </c>
      <c r="I123" s="1">
        <v>2.7400000100000002</v>
      </c>
      <c r="J123" s="1">
        <v>3.9999999000000001E-2</v>
      </c>
      <c r="K123" s="1">
        <v>3</v>
      </c>
      <c r="L123" s="1">
        <v>15</v>
      </c>
      <c r="M123" s="1">
        <v>162</v>
      </c>
      <c r="N123" s="1">
        <v>752</v>
      </c>
      <c r="O123" s="1">
        <v>2892</v>
      </c>
      <c r="P123" s="1" t="s">
        <v>17</v>
      </c>
      <c r="Q123" s="2"/>
      <c r="R123" s="1"/>
      <c r="S123" s="1"/>
      <c r="T123" s="1"/>
      <c r="U123" t="str">
        <f>TEXT(Merge2[[#This Row],[ActivityDate]],"dddd")</f>
        <v>Saturday</v>
      </c>
    </row>
    <row r="124" spans="1:21" x14ac:dyDescent="0.35">
      <c r="A124" s="1">
        <v>4057192912</v>
      </c>
      <c r="B124" s="2">
        <v>42462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1440</v>
      </c>
      <c r="O124" s="1">
        <v>1776</v>
      </c>
      <c r="P124" s="1" t="s">
        <v>17</v>
      </c>
      <c r="Q124" s="2"/>
      <c r="R124" s="1"/>
      <c r="S124" s="1"/>
      <c r="T124" s="1"/>
      <c r="U124" t="str">
        <f>TEXT(Merge2[[#This Row],[ActivityDate]],"dddd")</f>
        <v>Saturday</v>
      </c>
    </row>
    <row r="125" spans="1:21" x14ac:dyDescent="0.35">
      <c r="A125" s="1">
        <v>4319703577</v>
      </c>
      <c r="B125" s="2">
        <v>42462</v>
      </c>
      <c r="C125" s="1">
        <v>8405</v>
      </c>
      <c r="D125" s="1">
        <v>5.6599998469999999</v>
      </c>
      <c r="E125" s="1">
        <v>5.6599998469999999</v>
      </c>
      <c r="F125" s="1">
        <v>0</v>
      </c>
      <c r="G125" s="1">
        <v>1.1299999949999999</v>
      </c>
      <c r="H125" s="1">
        <v>0.189999998</v>
      </c>
      <c r="I125" s="1">
        <v>4.3400001530000001</v>
      </c>
      <c r="J125" s="1">
        <v>0</v>
      </c>
      <c r="K125" s="1">
        <v>15</v>
      </c>
      <c r="L125" s="1">
        <v>4</v>
      </c>
      <c r="M125" s="1">
        <v>257</v>
      </c>
      <c r="N125" s="1">
        <v>621</v>
      </c>
      <c r="O125" s="1">
        <v>2154</v>
      </c>
      <c r="P125" s="1" t="s">
        <v>18</v>
      </c>
      <c r="Q125" s="2"/>
      <c r="R125" s="1"/>
      <c r="S125" s="1"/>
      <c r="T125" s="1"/>
      <c r="U125" t="str">
        <f>TEXT(Merge2[[#This Row],[ActivityDate]],"dddd")</f>
        <v>Saturday</v>
      </c>
    </row>
    <row r="126" spans="1:21" x14ac:dyDescent="0.35">
      <c r="A126" s="1">
        <v>4388161847</v>
      </c>
      <c r="B126" s="2">
        <v>42462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1440</v>
      </c>
      <c r="O126" s="1">
        <v>1878</v>
      </c>
      <c r="P126" s="1" t="s">
        <v>17</v>
      </c>
      <c r="Q126" s="2"/>
      <c r="R126" s="1"/>
      <c r="S126" s="1"/>
      <c r="T126" s="1"/>
      <c r="U126" t="str">
        <f>TEXT(Merge2[[#This Row],[ActivityDate]],"dddd")</f>
        <v>Saturday</v>
      </c>
    </row>
    <row r="127" spans="1:21" x14ac:dyDescent="0.35">
      <c r="A127" s="1">
        <v>4445114986</v>
      </c>
      <c r="B127" s="2">
        <v>42462</v>
      </c>
      <c r="C127" s="1">
        <v>5406</v>
      </c>
      <c r="D127" s="1">
        <v>3.630000114</v>
      </c>
      <c r="E127" s="1">
        <v>3.630000114</v>
      </c>
      <c r="F127" s="1">
        <v>0</v>
      </c>
      <c r="G127" s="1">
        <v>0</v>
      </c>
      <c r="H127" s="1">
        <v>0</v>
      </c>
      <c r="I127" s="1">
        <v>3.6099998950000001</v>
      </c>
      <c r="J127" s="1">
        <v>0</v>
      </c>
      <c r="K127" s="1">
        <v>0</v>
      </c>
      <c r="L127" s="1">
        <v>0</v>
      </c>
      <c r="M127" s="1">
        <v>273</v>
      </c>
      <c r="N127" s="1">
        <v>672</v>
      </c>
      <c r="O127" s="1">
        <v>2317</v>
      </c>
      <c r="P127" s="1" t="s">
        <v>19</v>
      </c>
      <c r="Q127" s="2"/>
      <c r="R127" s="1"/>
      <c r="S127" s="1"/>
      <c r="T127" s="1"/>
      <c r="U127" t="str">
        <f>TEXT(Merge2[[#This Row],[ActivityDate]],"dddd")</f>
        <v>Saturday</v>
      </c>
    </row>
    <row r="128" spans="1:21" x14ac:dyDescent="0.35">
      <c r="A128" s="1">
        <v>4558609924</v>
      </c>
      <c r="B128" s="2">
        <v>42462</v>
      </c>
      <c r="C128" s="1">
        <v>3183</v>
      </c>
      <c r="D128" s="1">
        <v>2.0999999049999998</v>
      </c>
      <c r="E128" s="1">
        <v>2.0999999049999998</v>
      </c>
      <c r="F128" s="1">
        <v>0</v>
      </c>
      <c r="G128" s="1">
        <v>0</v>
      </c>
      <c r="H128" s="1">
        <v>0</v>
      </c>
      <c r="I128" s="1">
        <v>2.0999999049999998</v>
      </c>
      <c r="J128" s="1">
        <v>0</v>
      </c>
      <c r="K128" s="1">
        <v>0</v>
      </c>
      <c r="L128" s="1">
        <v>0</v>
      </c>
      <c r="M128" s="1">
        <v>173</v>
      </c>
      <c r="N128" s="1">
        <v>1180</v>
      </c>
      <c r="O128" s="1">
        <v>1680</v>
      </c>
      <c r="P128" s="1" t="s">
        <v>17</v>
      </c>
      <c r="Q128" s="2"/>
      <c r="R128" s="1"/>
      <c r="S128" s="1"/>
      <c r="T128" s="1"/>
      <c r="U128" t="str">
        <f>TEXT(Merge2[[#This Row],[ActivityDate]],"dddd")</f>
        <v>Saturday</v>
      </c>
    </row>
    <row r="129" spans="1:21" x14ac:dyDescent="0.35">
      <c r="A129" s="1">
        <v>4702921684</v>
      </c>
      <c r="B129" s="2">
        <v>42462</v>
      </c>
      <c r="C129" s="1">
        <v>10328</v>
      </c>
      <c r="D129" s="1">
        <v>8.3800001139999996</v>
      </c>
      <c r="E129" s="1">
        <v>8.3800001139999996</v>
      </c>
      <c r="F129" s="1">
        <v>0</v>
      </c>
      <c r="G129" s="1">
        <v>0</v>
      </c>
      <c r="H129" s="1">
        <v>1.460000038</v>
      </c>
      <c r="I129" s="1">
        <v>6.920000076</v>
      </c>
      <c r="J129" s="1">
        <v>0</v>
      </c>
      <c r="K129" s="1">
        <v>0</v>
      </c>
      <c r="L129" s="1">
        <v>32</v>
      </c>
      <c r="M129" s="1">
        <v>367</v>
      </c>
      <c r="N129" s="1">
        <v>475</v>
      </c>
      <c r="O129" s="1">
        <v>3323</v>
      </c>
      <c r="P129" s="1" t="s">
        <v>16</v>
      </c>
      <c r="Q129" s="2"/>
      <c r="R129" s="1"/>
      <c r="S129" s="1"/>
      <c r="T129" s="1"/>
      <c r="U129" t="str">
        <f>TEXT(Merge2[[#This Row],[ActivityDate]],"dddd")</f>
        <v>Saturday</v>
      </c>
    </row>
    <row r="130" spans="1:21" x14ac:dyDescent="0.35">
      <c r="A130" s="1">
        <v>5553957443</v>
      </c>
      <c r="B130" s="2">
        <v>42462</v>
      </c>
      <c r="C130" s="1">
        <v>2937</v>
      </c>
      <c r="D130" s="1">
        <v>1.9199999569999999</v>
      </c>
      <c r="E130" s="1">
        <v>1.9199999569999999</v>
      </c>
      <c r="F130" s="1">
        <v>0</v>
      </c>
      <c r="G130" s="1">
        <v>0</v>
      </c>
      <c r="H130" s="1">
        <v>0</v>
      </c>
      <c r="I130" s="1">
        <v>1.9099999670000001</v>
      </c>
      <c r="J130" s="1">
        <v>0</v>
      </c>
      <c r="K130" s="1">
        <v>0</v>
      </c>
      <c r="L130" s="1">
        <v>0</v>
      </c>
      <c r="M130" s="1">
        <v>181</v>
      </c>
      <c r="N130" s="1">
        <v>356</v>
      </c>
      <c r="O130" s="1">
        <v>1615</v>
      </c>
      <c r="P130" s="1" t="s">
        <v>17</v>
      </c>
      <c r="Q130" s="2"/>
      <c r="R130" s="1"/>
      <c r="S130" s="1"/>
      <c r="T130" s="1"/>
      <c r="U130" t="str">
        <f>TEXT(Merge2[[#This Row],[ActivityDate]],"dddd")</f>
        <v>Saturday</v>
      </c>
    </row>
    <row r="131" spans="1:21" x14ac:dyDescent="0.35">
      <c r="A131" s="1">
        <v>5577150313</v>
      </c>
      <c r="B131" s="2">
        <v>42462</v>
      </c>
      <c r="C131" s="1">
        <v>14873</v>
      </c>
      <c r="D131" s="1">
        <v>11.10999966</v>
      </c>
      <c r="E131" s="1">
        <v>11.10999966</v>
      </c>
      <c r="F131" s="1">
        <v>0</v>
      </c>
      <c r="G131" s="1">
        <v>8.1899995800000003</v>
      </c>
      <c r="H131" s="1">
        <v>0.60000002399999997</v>
      </c>
      <c r="I131" s="1">
        <v>2.3099999430000002</v>
      </c>
      <c r="J131" s="1">
        <v>0</v>
      </c>
      <c r="K131" s="1">
        <v>202</v>
      </c>
      <c r="L131" s="1">
        <v>36</v>
      </c>
      <c r="M131" s="1">
        <v>153</v>
      </c>
      <c r="N131" s="1">
        <v>663</v>
      </c>
      <c r="O131" s="1">
        <v>4430</v>
      </c>
      <c r="P131" s="1" t="s">
        <v>16</v>
      </c>
      <c r="Q131" s="2"/>
      <c r="R131" s="1"/>
      <c r="S131" s="1"/>
      <c r="T131" s="1"/>
      <c r="U131" t="str">
        <f>TEXT(Merge2[[#This Row],[ActivityDate]],"dddd")</f>
        <v>Saturday</v>
      </c>
    </row>
    <row r="132" spans="1:21" x14ac:dyDescent="0.35">
      <c r="A132" s="1">
        <v>6117666160</v>
      </c>
      <c r="B132" s="2">
        <v>42462</v>
      </c>
      <c r="C132" s="1">
        <v>19658</v>
      </c>
      <c r="D132" s="1">
        <v>14.84000015</v>
      </c>
      <c r="E132" s="1">
        <v>14.84000015</v>
      </c>
      <c r="F132" s="1">
        <v>0</v>
      </c>
      <c r="G132" s="1">
        <v>0.23999999499999999</v>
      </c>
      <c r="H132" s="1">
        <v>2.0899999139999998</v>
      </c>
      <c r="I132" s="1">
        <v>12.510000229999999</v>
      </c>
      <c r="J132" s="1">
        <v>0</v>
      </c>
      <c r="K132" s="1">
        <v>3</v>
      </c>
      <c r="L132" s="1">
        <v>30</v>
      </c>
      <c r="M132" s="1">
        <v>475</v>
      </c>
      <c r="N132" s="1">
        <v>466</v>
      </c>
      <c r="O132" s="1">
        <v>2884</v>
      </c>
      <c r="P132" s="1" t="s">
        <v>16</v>
      </c>
      <c r="Q132" s="2"/>
      <c r="R132" s="1"/>
      <c r="S132" s="1"/>
      <c r="T132" s="1"/>
      <c r="U132" t="str">
        <f>TEXT(Merge2[[#This Row],[ActivityDate]],"dddd")</f>
        <v>Saturday</v>
      </c>
    </row>
    <row r="133" spans="1:21" x14ac:dyDescent="0.35">
      <c r="A133" s="1">
        <v>6290855005</v>
      </c>
      <c r="B133" s="2">
        <v>42462</v>
      </c>
      <c r="C133" s="1">
        <v>9548</v>
      </c>
      <c r="D133" s="1">
        <v>7.2199997900000001</v>
      </c>
      <c r="E133" s="1">
        <v>7.2199997900000001</v>
      </c>
      <c r="F133" s="1">
        <v>0</v>
      </c>
      <c r="G133" s="1">
        <v>2.0199999809999998</v>
      </c>
      <c r="H133" s="1">
        <v>3.6800000669999999</v>
      </c>
      <c r="I133" s="1">
        <v>1.519999981</v>
      </c>
      <c r="J133" s="1">
        <v>0</v>
      </c>
      <c r="K133" s="1">
        <v>25</v>
      </c>
      <c r="L133" s="1">
        <v>107</v>
      </c>
      <c r="M133" s="1">
        <v>113</v>
      </c>
      <c r="N133" s="1">
        <v>1195</v>
      </c>
      <c r="O133" s="1">
        <v>3119</v>
      </c>
      <c r="P133" s="1" t="s">
        <v>18</v>
      </c>
      <c r="Q133" s="2"/>
      <c r="R133" s="1"/>
      <c r="S133" s="1"/>
      <c r="T133" s="1"/>
      <c r="U133" t="str">
        <f>TEXT(Merge2[[#This Row],[ActivityDate]],"dddd")</f>
        <v>Saturday</v>
      </c>
    </row>
    <row r="134" spans="1:21" x14ac:dyDescent="0.35">
      <c r="A134" s="1">
        <v>6391747486</v>
      </c>
      <c r="B134" s="2">
        <v>42462</v>
      </c>
      <c r="C134" s="1">
        <v>2101</v>
      </c>
      <c r="D134" s="1">
        <v>2.0299999710000001</v>
      </c>
      <c r="E134" s="1">
        <v>0</v>
      </c>
      <c r="F134" s="1">
        <v>2.0277729029999998</v>
      </c>
      <c r="G134" s="1">
        <v>2.0299999710000001</v>
      </c>
      <c r="H134" s="1">
        <v>0</v>
      </c>
      <c r="I134" s="1">
        <v>0</v>
      </c>
      <c r="J134" s="1">
        <v>0</v>
      </c>
      <c r="K134" s="1">
        <v>46</v>
      </c>
      <c r="L134" s="1">
        <v>0</v>
      </c>
      <c r="M134" s="1">
        <v>0</v>
      </c>
      <c r="N134" s="1">
        <v>1394</v>
      </c>
      <c r="O134" s="1">
        <v>2224</v>
      </c>
      <c r="P134" s="1" t="s">
        <v>17</v>
      </c>
      <c r="Q134" s="2"/>
      <c r="R134" s="1"/>
      <c r="S134" s="1"/>
      <c r="T134" s="1"/>
      <c r="U134" t="str">
        <f>TEXT(Merge2[[#This Row],[ActivityDate]],"dddd")</f>
        <v>Saturday</v>
      </c>
    </row>
    <row r="135" spans="1:21" x14ac:dyDescent="0.35">
      <c r="A135" s="1">
        <v>6775888955</v>
      </c>
      <c r="B135" s="2">
        <v>42462</v>
      </c>
      <c r="C135" s="1">
        <v>1988</v>
      </c>
      <c r="D135" s="1">
        <v>1.4299999480000001</v>
      </c>
      <c r="E135" s="1">
        <v>1.4299999480000001</v>
      </c>
      <c r="F135" s="1">
        <v>0</v>
      </c>
      <c r="G135" s="1">
        <v>0</v>
      </c>
      <c r="H135" s="1">
        <v>0</v>
      </c>
      <c r="I135" s="1">
        <v>1.4299999480000001</v>
      </c>
      <c r="J135" s="1">
        <v>0</v>
      </c>
      <c r="K135" s="1">
        <v>0</v>
      </c>
      <c r="L135" s="1">
        <v>0</v>
      </c>
      <c r="M135" s="1">
        <v>79</v>
      </c>
      <c r="N135" s="1">
        <v>909</v>
      </c>
      <c r="O135" s="1">
        <v>2207</v>
      </c>
      <c r="P135" s="1" t="s">
        <v>17</v>
      </c>
      <c r="Q135" s="2"/>
      <c r="R135" s="1"/>
      <c r="S135" s="1"/>
      <c r="T135" s="1"/>
      <c r="U135" t="str">
        <f>TEXT(Merge2[[#This Row],[ActivityDate]],"dddd")</f>
        <v>Saturday</v>
      </c>
    </row>
    <row r="136" spans="1:21" x14ac:dyDescent="0.35">
      <c r="A136" s="1">
        <v>6962181067</v>
      </c>
      <c r="B136" s="2">
        <v>42462</v>
      </c>
      <c r="C136" s="1">
        <v>12437</v>
      </c>
      <c r="D136" s="1">
        <v>8.3000001910000005</v>
      </c>
      <c r="E136" s="1">
        <v>8.3000001910000005</v>
      </c>
      <c r="F136" s="1">
        <v>0</v>
      </c>
      <c r="G136" s="1">
        <v>3.7599999899999998</v>
      </c>
      <c r="H136" s="1">
        <v>1.289999962</v>
      </c>
      <c r="I136" s="1">
        <v>3.2400000100000002</v>
      </c>
      <c r="J136" s="1">
        <v>0</v>
      </c>
      <c r="K136" s="1">
        <v>50</v>
      </c>
      <c r="L136" s="1">
        <v>24</v>
      </c>
      <c r="M136" s="1">
        <v>219</v>
      </c>
      <c r="N136" s="1">
        <v>732</v>
      </c>
      <c r="O136" s="1">
        <v>2115</v>
      </c>
      <c r="P136" s="1" t="s">
        <v>16</v>
      </c>
      <c r="Q136" s="2"/>
      <c r="R136" s="1"/>
      <c r="S136" s="1"/>
      <c r="T136" s="1"/>
      <c r="U136" t="str">
        <f>TEXT(Merge2[[#This Row],[ActivityDate]],"dddd")</f>
        <v>Saturday</v>
      </c>
    </row>
    <row r="137" spans="1:21" x14ac:dyDescent="0.35">
      <c r="A137" s="1">
        <v>7007744171</v>
      </c>
      <c r="B137" s="2">
        <v>42462</v>
      </c>
      <c r="C137" s="1">
        <v>10976</v>
      </c>
      <c r="D137" s="1">
        <v>7.3400001530000001</v>
      </c>
      <c r="E137" s="1">
        <v>7.3400001530000001</v>
      </c>
      <c r="F137" s="1">
        <v>0</v>
      </c>
      <c r="G137" s="1">
        <v>0.55000001200000004</v>
      </c>
      <c r="H137" s="1">
        <v>0.670000017</v>
      </c>
      <c r="I137" s="1">
        <v>6.1300001139999996</v>
      </c>
      <c r="J137" s="1">
        <v>0</v>
      </c>
      <c r="K137" s="1">
        <v>9</v>
      </c>
      <c r="L137" s="1">
        <v>16</v>
      </c>
      <c r="M137" s="1">
        <v>271</v>
      </c>
      <c r="N137" s="1">
        <v>1075</v>
      </c>
      <c r="O137" s="1">
        <v>2575</v>
      </c>
      <c r="P137" s="1" t="s">
        <v>16</v>
      </c>
      <c r="Q137" s="2"/>
      <c r="R137" s="1"/>
      <c r="S137" s="1"/>
      <c r="T137" s="1"/>
      <c r="U137" t="str">
        <f>TEXT(Merge2[[#This Row],[ActivityDate]],"dddd")</f>
        <v>Saturday</v>
      </c>
    </row>
    <row r="138" spans="1:21" x14ac:dyDescent="0.35">
      <c r="A138" s="1">
        <v>7086361926</v>
      </c>
      <c r="B138" s="2">
        <v>42462</v>
      </c>
      <c r="C138" s="1">
        <v>87</v>
      </c>
      <c r="D138" s="1">
        <v>0.02</v>
      </c>
      <c r="E138" s="1">
        <v>0.02</v>
      </c>
      <c r="F138" s="1">
        <v>0</v>
      </c>
      <c r="G138" s="1">
        <v>0</v>
      </c>
      <c r="H138" s="1">
        <v>0</v>
      </c>
      <c r="I138" s="1">
        <v>0.01</v>
      </c>
      <c r="J138" s="1">
        <v>0</v>
      </c>
      <c r="K138" s="1">
        <v>0</v>
      </c>
      <c r="L138" s="1">
        <v>0</v>
      </c>
      <c r="M138" s="1">
        <v>2</v>
      </c>
      <c r="N138" s="1">
        <v>872</v>
      </c>
      <c r="O138" s="1">
        <v>1641</v>
      </c>
      <c r="P138" s="1" t="s">
        <v>17</v>
      </c>
      <c r="Q138" s="2"/>
      <c r="R138" s="1"/>
      <c r="S138" s="1"/>
      <c r="T138" s="1"/>
      <c r="U138" t="str">
        <f>TEXT(Merge2[[#This Row],[ActivityDate]],"dddd")</f>
        <v>Saturday</v>
      </c>
    </row>
    <row r="139" spans="1:21" x14ac:dyDescent="0.35">
      <c r="A139" s="1">
        <v>8053475328</v>
      </c>
      <c r="B139" s="2">
        <v>42462</v>
      </c>
      <c r="C139" s="1">
        <v>20188</v>
      </c>
      <c r="D139" s="1">
        <v>15.619999890000001</v>
      </c>
      <c r="E139" s="1">
        <v>15.619999890000001</v>
      </c>
      <c r="F139" s="1">
        <v>0</v>
      </c>
      <c r="G139" s="1">
        <v>12.06000042</v>
      </c>
      <c r="H139" s="1">
        <v>0.85000002399999997</v>
      </c>
      <c r="I139" s="1">
        <v>2.710000038</v>
      </c>
      <c r="J139" s="1">
        <v>0</v>
      </c>
      <c r="K139" s="1">
        <v>124</v>
      </c>
      <c r="L139" s="1">
        <v>19</v>
      </c>
      <c r="M139" s="1">
        <v>172</v>
      </c>
      <c r="N139" s="1">
        <v>1125</v>
      </c>
      <c r="O139" s="1">
        <v>3377</v>
      </c>
      <c r="P139" s="1" t="s">
        <v>16</v>
      </c>
      <c r="Q139" s="2"/>
      <c r="R139" s="1"/>
      <c r="S139" s="1"/>
      <c r="T139" s="1"/>
      <c r="U139" t="str">
        <f>TEXT(Merge2[[#This Row],[ActivityDate]],"dddd")</f>
        <v>Saturday</v>
      </c>
    </row>
    <row r="140" spans="1:21" x14ac:dyDescent="0.35">
      <c r="A140" s="1">
        <v>8253242879</v>
      </c>
      <c r="B140" s="2">
        <v>42462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1440</v>
      </c>
      <c r="O140" s="1">
        <v>1429</v>
      </c>
      <c r="P140" s="1" t="s">
        <v>17</v>
      </c>
      <c r="Q140" s="2"/>
      <c r="R140" s="1"/>
      <c r="S140" s="1"/>
      <c r="T140" s="1"/>
      <c r="U140" t="str">
        <f>TEXT(Merge2[[#This Row],[ActivityDate]],"dddd")</f>
        <v>Saturday</v>
      </c>
    </row>
    <row r="141" spans="1:21" x14ac:dyDescent="0.35">
      <c r="A141" s="1">
        <v>8378563200</v>
      </c>
      <c r="B141" s="2">
        <v>42462</v>
      </c>
      <c r="C141" s="1">
        <v>3358</v>
      </c>
      <c r="D141" s="1">
        <v>2.6600000860000002</v>
      </c>
      <c r="E141" s="1">
        <v>2.6600000860000002</v>
      </c>
      <c r="F141" s="1">
        <v>0</v>
      </c>
      <c r="G141" s="1">
        <v>0</v>
      </c>
      <c r="H141" s="1">
        <v>0</v>
      </c>
      <c r="I141" s="1">
        <v>2.6600000860000002</v>
      </c>
      <c r="J141" s="1">
        <v>0</v>
      </c>
      <c r="K141" s="1">
        <v>0</v>
      </c>
      <c r="L141" s="1">
        <v>0</v>
      </c>
      <c r="M141" s="1">
        <v>144</v>
      </c>
      <c r="N141" s="1">
        <v>657</v>
      </c>
      <c r="O141" s="1">
        <v>2702</v>
      </c>
      <c r="P141" s="1" t="s">
        <v>17</v>
      </c>
      <c r="Q141" s="2"/>
      <c r="R141" s="1"/>
      <c r="S141" s="1"/>
      <c r="T141" s="1"/>
      <c r="U141" t="str">
        <f>TEXT(Merge2[[#This Row],[ActivityDate]],"dddd")</f>
        <v>Saturday</v>
      </c>
    </row>
    <row r="142" spans="1:21" x14ac:dyDescent="0.35">
      <c r="A142" s="1">
        <v>8583815059</v>
      </c>
      <c r="B142" s="2">
        <v>42462</v>
      </c>
      <c r="C142" s="1">
        <v>3494</v>
      </c>
      <c r="D142" s="1">
        <v>2.7300000190000002</v>
      </c>
      <c r="E142" s="1">
        <v>2.7300000190000002</v>
      </c>
      <c r="F142" s="1">
        <v>0</v>
      </c>
      <c r="G142" s="1">
        <v>0</v>
      </c>
      <c r="H142" s="1">
        <v>0</v>
      </c>
      <c r="I142" s="1">
        <v>2.6900000569999998</v>
      </c>
      <c r="J142" s="1">
        <v>0</v>
      </c>
      <c r="K142" s="1">
        <v>0</v>
      </c>
      <c r="L142" s="1">
        <v>0</v>
      </c>
      <c r="M142" s="1">
        <v>166</v>
      </c>
      <c r="N142" s="1">
        <v>1274</v>
      </c>
      <c r="O142" s="1">
        <v>2517</v>
      </c>
      <c r="P142" s="1" t="s">
        <v>17</v>
      </c>
      <c r="Q142" s="2"/>
      <c r="R142" s="1"/>
      <c r="S142" s="1"/>
      <c r="T142" s="1"/>
      <c r="U142" t="str">
        <f>TEXT(Merge2[[#This Row],[ActivityDate]],"dddd")</f>
        <v>Saturday</v>
      </c>
    </row>
    <row r="143" spans="1:21" x14ac:dyDescent="0.35">
      <c r="A143" s="1">
        <v>8792009665</v>
      </c>
      <c r="B143" s="2">
        <v>42462</v>
      </c>
      <c r="C143" s="1">
        <v>8452</v>
      </c>
      <c r="D143" s="1">
        <v>5.4099998469999999</v>
      </c>
      <c r="E143" s="1">
        <v>5.4099998469999999</v>
      </c>
      <c r="F143" s="1">
        <v>0</v>
      </c>
      <c r="G143" s="1">
        <v>0.25999999000000001</v>
      </c>
      <c r="H143" s="1">
        <v>0.38999998600000002</v>
      </c>
      <c r="I143" s="1">
        <v>4.7600002290000001</v>
      </c>
      <c r="J143" s="1">
        <v>0</v>
      </c>
      <c r="K143" s="1">
        <v>9</v>
      </c>
      <c r="L143" s="1">
        <v>24</v>
      </c>
      <c r="M143" s="1">
        <v>328</v>
      </c>
      <c r="N143" s="1">
        <v>1079</v>
      </c>
      <c r="O143" s="1">
        <v>3004</v>
      </c>
      <c r="P143" s="1" t="s">
        <v>18</v>
      </c>
      <c r="Q143" s="2"/>
      <c r="R143" s="1"/>
      <c r="S143" s="1"/>
      <c r="T143" s="1"/>
      <c r="U143" t="str">
        <f>TEXT(Merge2[[#This Row],[ActivityDate]],"dddd")</f>
        <v>Saturday</v>
      </c>
    </row>
    <row r="144" spans="1:21" x14ac:dyDescent="0.35">
      <c r="A144" s="1">
        <v>8877689391</v>
      </c>
      <c r="B144" s="2">
        <v>42462</v>
      </c>
      <c r="C144" s="1">
        <v>27572</v>
      </c>
      <c r="D144" s="1">
        <v>23.38999939</v>
      </c>
      <c r="E144" s="1">
        <v>23.38999939</v>
      </c>
      <c r="F144" s="1">
        <v>0</v>
      </c>
      <c r="G144" s="1">
        <v>14.72000027</v>
      </c>
      <c r="H144" s="1">
        <v>1.210000038</v>
      </c>
      <c r="I144" s="1">
        <v>7.3400001530000001</v>
      </c>
      <c r="J144" s="1">
        <v>0.01</v>
      </c>
      <c r="K144" s="1">
        <v>116</v>
      </c>
      <c r="L144" s="1">
        <v>24</v>
      </c>
      <c r="M144" s="1">
        <v>260</v>
      </c>
      <c r="N144" s="1">
        <v>1040</v>
      </c>
      <c r="O144" s="1">
        <v>4220</v>
      </c>
      <c r="P144" s="1" t="s">
        <v>16</v>
      </c>
      <c r="Q144" s="2"/>
      <c r="R144" s="1"/>
      <c r="S144" s="1"/>
      <c r="T144" s="1"/>
      <c r="U144" t="str">
        <f>TEXT(Merge2[[#This Row],[ActivityDate]],"dddd")</f>
        <v>Saturday</v>
      </c>
    </row>
    <row r="145" spans="1:21" x14ac:dyDescent="0.35">
      <c r="A145" s="1">
        <v>1503960366</v>
      </c>
      <c r="B145" s="2">
        <v>42463</v>
      </c>
      <c r="C145" s="1">
        <v>10016</v>
      </c>
      <c r="D145" s="1">
        <v>6.3699998860000004</v>
      </c>
      <c r="E145" s="1">
        <v>6.3699998860000004</v>
      </c>
      <c r="F145" s="1">
        <v>0</v>
      </c>
      <c r="G145" s="1">
        <v>0.91000002599999996</v>
      </c>
      <c r="H145" s="1">
        <v>1.2799999710000001</v>
      </c>
      <c r="I145" s="1">
        <v>4.1799998279999997</v>
      </c>
      <c r="J145" s="1">
        <v>0</v>
      </c>
      <c r="K145" s="1">
        <v>15</v>
      </c>
      <c r="L145" s="1">
        <v>30</v>
      </c>
      <c r="M145" s="1">
        <v>314</v>
      </c>
      <c r="N145" s="1">
        <v>655</v>
      </c>
      <c r="O145" s="1">
        <v>1850</v>
      </c>
      <c r="P145" s="1" t="s">
        <v>16</v>
      </c>
      <c r="Q145" s="2"/>
      <c r="R145" s="1"/>
      <c r="S145" s="1"/>
      <c r="T145" s="1"/>
      <c r="U145" t="str">
        <f>TEXT(Merge2[[#This Row],[ActivityDate]],"dddd")</f>
        <v>Sunday</v>
      </c>
    </row>
    <row r="146" spans="1:21" x14ac:dyDescent="0.35">
      <c r="A146" s="1">
        <v>1624580081</v>
      </c>
      <c r="B146" s="2">
        <v>42463</v>
      </c>
      <c r="C146" s="1">
        <v>2910</v>
      </c>
      <c r="D146" s="1">
        <v>1.8899999860000001</v>
      </c>
      <c r="E146" s="1">
        <v>1.8899999860000001</v>
      </c>
      <c r="F146" s="1">
        <v>0</v>
      </c>
      <c r="G146" s="1">
        <v>0</v>
      </c>
      <c r="H146" s="1">
        <v>0</v>
      </c>
      <c r="I146" s="1">
        <v>1.8799999949999999</v>
      </c>
      <c r="J146" s="1">
        <v>0.01</v>
      </c>
      <c r="K146" s="1">
        <v>0</v>
      </c>
      <c r="L146" s="1">
        <v>0</v>
      </c>
      <c r="M146" s="1">
        <v>157</v>
      </c>
      <c r="N146" s="1">
        <v>1283</v>
      </c>
      <c r="O146" s="1">
        <v>1452</v>
      </c>
      <c r="P146" s="1" t="s">
        <v>17</v>
      </c>
      <c r="Q146" s="2"/>
      <c r="R146" s="1"/>
      <c r="S146" s="1"/>
      <c r="T146" s="1"/>
      <c r="U146" t="str">
        <f>TEXT(Merge2[[#This Row],[ActivityDate]],"dddd")</f>
        <v>Sunday</v>
      </c>
    </row>
    <row r="147" spans="1:21" x14ac:dyDescent="0.35">
      <c r="A147" s="1">
        <v>1644430081</v>
      </c>
      <c r="B147" s="2">
        <v>42463</v>
      </c>
      <c r="C147" s="1">
        <v>12912</v>
      </c>
      <c r="D147" s="1">
        <v>9.4099998469999999</v>
      </c>
      <c r="E147" s="1">
        <v>9.4099998469999999</v>
      </c>
      <c r="F147" s="1">
        <v>0</v>
      </c>
      <c r="G147" s="1">
        <v>4.829999924</v>
      </c>
      <c r="H147" s="1">
        <v>0.769999981</v>
      </c>
      <c r="I147" s="1">
        <v>3.789999962</v>
      </c>
      <c r="J147" s="1">
        <v>2.9999998999999999E-2</v>
      </c>
      <c r="K147" s="1">
        <v>59</v>
      </c>
      <c r="L147" s="1">
        <v>16</v>
      </c>
      <c r="M147" s="1">
        <v>283</v>
      </c>
      <c r="N147" s="1">
        <v>1082</v>
      </c>
      <c r="O147" s="1">
        <v>3436</v>
      </c>
      <c r="P147" s="1" t="s">
        <v>16</v>
      </c>
      <c r="Q147" s="2"/>
      <c r="R147" s="1"/>
      <c r="S147" s="1"/>
      <c r="T147" s="1"/>
      <c r="U147" t="str">
        <f>TEXT(Merge2[[#This Row],[ActivityDate]],"dddd")</f>
        <v>Sunday</v>
      </c>
    </row>
    <row r="148" spans="1:21" x14ac:dyDescent="0.35">
      <c r="A148" s="1">
        <v>1844505072</v>
      </c>
      <c r="B148" s="2">
        <v>42463</v>
      </c>
      <c r="C148" s="1">
        <v>2841</v>
      </c>
      <c r="D148" s="1">
        <v>1.8799999949999999</v>
      </c>
      <c r="E148" s="1">
        <v>1.8799999949999999</v>
      </c>
      <c r="F148" s="1">
        <v>0</v>
      </c>
      <c r="G148" s="1">
        <v>0</v>
      </c>
      <c r="H148" s="1">
        <v>0</v>
      </c>
      <c r="I148" s="1">
        <v>1.8799999949999999</v>
      </c>
      <c r="J148" s="1">
        <v>0</v>
      </c>
      <c r="K148" s="1">
        <v>0</v>
      </c>
      <c r="L148" s="1">
        <v>0</v>
      </c>
      <c r="M148" s="1">
        <v>136</v>
      </c>
      <c r="N148" s="1">
        <v>1114</v>
      </c>
      <c r="O148" s="1">
        <v>1636</v>
      </c>
      <c r="P148" s="1" t="s">
        <v>17</v>
      </c>
      <c r="Q148" s="2"/>
      <c r="R148" s="1"/>
      <c r="S148" s="1"/>
      <c r="T148" s="1"/>
      <c r="U148" t="str">
        <f>TEXT(Merge2[[#This Row],[ActivityDate]],"dddd")</f>
        <v>Sunday</v>
      </c>
    </row>
    <row r="149" spans="1:21" x14ac:dyDescent="0.35">
      <c r="A149" s="1">
        <v>1927972279</v>
      </c>
      <c r="B149" s="2">
        <v>42463</v>
      </c>
      <c r="C149" s="1">
        <v>3198</v>
      </c>
      <c r="D149" s="1">
        <v>2.210000038</v>
      </c>
      <c r="E149" s="1">
        <v>2.210000038</v>
      </c>
      <c r="F149" s="1">
        <v>0</v>
      </c>
      <c r="G149" s="1">
        <v>0</v>
      </c>
      <c r="H149" s="1">
        <v>0</v>
      </c>
      <c r="I149" s="1">
        <v>2.210000038</v>
      </c>
      <c r="J149" s="1">
        <v>0</v>
      </c>
      <c r="K149" s="1">
        <v>0</v>
      </c>
      <c r="L149" s="1">
        <v>0</v>
      </c>
      <c r="M149" s="1">
        <v>146</v>
      </c>
      <c r="N149" s="1">
        <v>1183</v>
      </c>
      <c r="O149" s="1">
        <v>2449</v>
      </c>
      <c r="P149" s="1" t="s">
        <v>17</v>
      </c>
      <c r="Q149" s="2"/>
      <c r="R149" s="1"/>
      <c r="S149" s="1"/>
      <c r="T149" s="1"/>
      <c r="U149" t="str">
        <f>TEXT(Merge2[[#This Row],[ActivityDate]],"dddd")</f>
        <v>Sunday</v>
      </c>
    </row>
    <row r="150" spans="1:21" x14ac:dyDescent="0.35">
      <c r="A150" s="1">
        <v>2022484408</v>
      </c>
      <c r="B150" s="2">
        <v>42463</v>
      </c>
      <c r="C150" s="1">
        <v>11144</v>
      </c>
      <c r="D150" s="1">
        <v>7.8200001720000003</v>
      </c>
      <c r="E150" s="1">
        <v>7.8200001720000003</v>
      </c>
      <c r="F150" s="1">
        <v>0</v>
      </c>
      <c r="G150" s="1">
        <v>1.789999962</v>
      </c>
      <c r="H150" s="1">
        <v>0.88999998599999997</v>
      </c>
      <c r="I150" s="1">
        <v>5.1399998660000001</v>
      </c>
      <c r="J150" s="1">
        <v>0</v>
      </c>
      <c r="K150" s="1">
        <v>25</v>
      </c>
      <c r="L150" s="1">
        <v>22</v>
      </c>
      <c r="M150" s="1">
        <v>279</v>
      </c>
      <c r="N150" s="1">
        <v>1114</v>
      </c>
      <c r="O150" s="1">
        <v>2395</v>
      </c>
      <c r="P150" s="1" t="s">
        <v>16</v>
      </c>
      <c r="Q150" s="2"/>
      <c r="R150" s="1"/>
      <c r="S150" s="1"/>
      <c r="T150" s="1"/>
      <c r="U150" t="str">
        <f>TEXT(Merge2[[#This Row],[ActivityDate]],"dddd")</f>
        <v>Sunday</v>
      </c>
    </row>
    <row r="151" spans="1:21" x14ac:dyDescent="0.35">
      <c r="A151" s="1">
        <v>2026352035</v>
      </c>
      <c r="B151" s="2">
        <v>42463</v>
      </c>
      <c r="C151" s="1">
        <v>2308</v>
      </c>
      <c r="D151" s="1">
        <v>1.4299999480000001</v>
      </c>
      <c r="E151" s="1">
        <v>1.4299999480000001</v>
      </c>
      <c r="F151" s="1">
        <v>0</v>
      </c>
      <c r="G151" s="1">
        <v>0</v>
      </c>
      <c r="H151" s="1">
        <v>0</v>
      </c>
      <c r="I151" s="1">
        <v>1.4299999480000001</v>
      </c>
      <c r="J151" s="1">
        <v>0</v>
      </c>
      <c r="K151" s="1">
        <v>0</v>
      </c>
      <c r="L151" s="1">
        <v>0</v>
      </c>
      <c r="M151" s="1">
        <v>115</v>
      </c>
      <c r="N151" s="1">
        <v>720</v>
      </c>
      <c r="O151" s="1">
        <v>1330</v>
      </c>
      <c r="P151" s="1" t="s">
        <v>17</v>
      </c>
      <c r="Q151" s="2"/>
      <c r="R151" s="1"/>
      <c r="S151" s="1"/>
      <c r="T151" s="1"/>
      <c r="U151" t="str">
        <f>TEXT(Merge2[[#This Row],[ActivityDate]],"dddd")</f>
        <v>Sunday</v>
      </c>
    </row>
    <row r="152" spans="1:21" x14ac:dyDescent="0.35">
      <c r="A152" s="1">
        <v>2320127002</v>
      </c>
      <c r="B152" s="2">
        <v>42463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1440</v>
      </c>
      <c r="O152" s="1">
        <v>1324</v>
      </c>
      <c r="P152" s="1" t="s">
        <v>17</v>
      </c>
      <c r="Q152" s="2"/>
      <c r="R152" s="1"/>
      <c r="S152" s="1"/>
      <c r="T152" s="1"/>
      <c r="U152" t="str">
        <f>TEXT(Merge2[[#This Row],[ActivityDate]],"dddd")</f>
        <v>Sunday</v>
      </c>
    </row>
    <row r="153" spans="1:21" x14ac:dyDescent="0.35">
      <c r="A153" s="1">
        <v>2347167796</v>
      </c>
      <c r="B153" s="2">
        <v>42463</v>
      </c>
      <c r="C153" s="1">
        <v>7485</v>
      </c>
      <c r="D153" s="1">
        <v>4.9499998090000004</v>
      </c>
      <c r="E153" s="1">
        <v>4.9499998090000004</v>
      </c>
      <c r="F153" s="1">
        <v>0</v>
      </c>
      <c r="G153" s="1">
        <v>0</v>
      </c>
      <c r="H153" s="1">
        <v>0</v>
      </c>
      <c r="I153" s="1">
        <v>4.9499998090000004</v>
      </c>
      <c r="J153" s="1">
        <v>0</v>
      </c>
      <c r="K153" s="1">
        <v>0</v>
      </c>
      <c r="L153" s="1">
        <v>0</v>
      </c>
      <c r="M153" s="1">
        <v>324</v>
      </c>
      <c r="N153" s="1">
        <v>491</v>
      </c>
      <c r="O153" s="1">
        <v>2035</v>
      </c>
      <c r="P153" s="1" t="s">
        <v>19</v>
      </c>
      <c r="Q153" s="2"/>
      <c r="R153" s="1"/>
      <c r="S153" s="1"/>
      <c r="T153" s="1"/>
      <c r="U153" t="str">
        <f>TEXT(Merge2[[#This Row],[ActivityDate]],"dddd")</f>
        <v>Sunday</v>
      </c>
    </row>
    <row r="154" spans="1:21" x14ac:dyDescent="0.35">
      <c r="A154" s="1">
        <v>2873212765</v>
      </c>
      <c r="B154" s="2">
        <v>42463</v>
      </c>
      <c r="C154" s="1">
        <v>7640</v>
      </c>
      <c r="D154" s="1">
        <v>5.1300001139999996</v>
      </c>
      <c r="E154" s="1">
        <v>5.1300001139999996</v>
      </c>
      <c r="F154" s="1">
        <v>0</v>
      </c>
      <c r="G154" s="1">
        <v>0.189999998</v>
      </c>
      <c r="H154" s="1">
        <v>0.80000001200000004</v>
      </c>
      <c r="I154" s="1">
        <v>4.1500000950000002</v>
      </c>
      <c r="J154" s="1">
        <v>0</v>
      </c>
      <c r="K154" s="1">
        <v>3</v>
      </c>
      <c r="L154" s="1">
        <v>15</v>
      </c>
      <c r="M154" s="1">
        <v>315</v>
      </c>
      <c r="N154" s="1">
        <v>1107</v>
      </c>
      <c r="O154" s="1">
        <v>1845</v>
      </c>
      <c r="P154" s="1" t="s">
        <v>18</v>
      </c>
      <c r="Q154" s="2"/>
      <c r="R154" s="1"/>
      <c r="S154" s="1"/>
      <c r="T154" s="1"/>
      <c r="U154" t="str">
        <f>TEXT(Merge2[[#This Row],[ActivityDate]],"dddd")</f>
        <v>Sunday</v>
      </c>
    </row>
    <row r="155" spans="1:21" x14ac:dyDescent="0.35">
      <c r="A155" s="1">
        <v>2891001357</v>
      </c>
      <c r="B155" s="2">
        <v>42463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1440</v>
      </c>
      <c r="O155" s="1">
        <v>1920</v>
      </c>
      <c r="P155" s="1" t="s">
        <v>17</v>
      </c>
      <c r="Q155" s="2"/>
      <c r="R155" s="1"/>
      <c r="S155" s="1"/>
      <c r="T155" s="1"/>
      <c r="U155" t="str">
        <f>TEXT(Merge2[[#This Row],[ActivityDate]],"dddd")</f>
        <v>Sunday</v>
      </c>
    </row>
    <row r="156" spans="1:21" x14ac:dyDescent="0.35">
      <c r="A156" s="1">
        <v>3372868164</v>
      </c>
      <c r="B156" s="2">
        <v>42463</v>
      </c>
      <c r="C156" s="1">
        <v>4706</v>
      </c>
      <c r="D156" s="1">
        <v>3.210000038</v>
      </c>
      <c r="E156" s="1">
        <v>3.210000038</v>
      </c>
      <c r="F156" s="1">
        <v>0</v>
      </c>
      <c r="G156" s="1">
        <v>0</v>
      </c>
      <c r="H156" s="1">
        <v>0</v>
      </c>
      <c r="I156" s="1">
        <v>3.210000038</v>
      </c>
      <c r="J156" s="1">
        <v>0</v>
      </c>
      <c r="K156" s="1">
        <v>0</v>
      </c>
      <c r="L156" s="1">
        <v>0</v>
      </c>
      <c r="M156" s="1">
        <v>299</v>
      </c>
      <c r="N156" s="1">
        <v>1141</v>
      </c>
      <c r="O156" s="1">
        <v>1816</v>
      </c>
      <c r="P156" s="1" t="s">
        <v>17</v>
      </c>
      <c r="Q156" s="2"/>
      <c r="R156" s="1"/>
      <c r="S156" s="1"/>
      <c r="T156" s="1"/>
      <c r="U156" t="str">
        <f>TEXT(Merge2[[#This Row],[ActivityDate]],"dddd")</f>
        <v>Sunday</v>
      </c>
    </row>
    <row r="157" spans="1:21" x14ac:dyDescent="0.35">
      <c r="A157" s="1">
        <v>3977333714</v>
      </c>
      <c r="B157" s="2">
        <v>42463</v>
      </c>
      <c r="C157" s="1">
        <v>11508</v>
      </c>
      <c r="D157" s="1">
        <v>7.6999998090000004</v>
      </c>
      <c r="E157" s="1">
        <v>7.6999998090000004</v>
      </c>
      <c r="F157" s="1">
        <v>0</v>
      </c>
      <c r="G157" s="1">
        <v>2.170000076</v>
      </c>
      <c r="H157" s="1">
        <v>0.83999997400000004</v>
      </c>
      <c r="I157" s="1">
        <v>4.6900000569999998</v>
      </c>
      <c r="J157" s="1">
        <v>0</v>
      </c>
      <c r="K157" s="1">
        <v>29</v>
      </c>
      <c r="L157" s="1">
        <v>22</v>
      </c>
      <c r="M157" s="1">
        <v>282</v>
      </c>
      <c r="N157" s="1">
        <v>748</v>
      </c>
      <c r="O157" s="1">
        <v>1630</v>
      </c>
      <c r="P157" s="1" t="s">
        <v>16</v>
      </c>
      <c r="Q157" s="2"/>
      <c r="R157" s="1"/>
      <c r="S157" s="1"/>
      <c r="T157" s="1"/>
      <c r="U157" t="str">
        <f>TEXT(Merge2[[#This Row],[ActivityDate]],"dddd")</f>
        <v>Sunday</v>
      </c>
    </row>
    <row r="158" spans="1:21" x14ac:dyDescent="0.35">
      <c r="A158" s="1">
        <v>4020332650</v>
      </c>
      <c r="B158" s="2">
        <v>42463</v>
      </c>
      <c r="C158" s="1">
        <v>6107</v>
      </c>
      <c r="D158" s="1">
        <v>4.3800001139999996</v>
      </c>
      <c r="E158" s="1">
        <v>4.3800001139999996</v>
      </c>
      <c r="F158" s="1">
        <v>0</v>
      </c>
      <c r="G158" s="1">
        <v>0</v>
      </c>
      <c r="H158" s="1">
        <v>0</v>
      </c>
      <c r="I158" s="1">
        <v>4.3600001339999999</v>
      </c>
      <c r="J158" s="1">
        <v>0</v>
      </c>
      <c r="K158" s="1">
        <v>0</v>
      </c>
      <c r="L158" s="1">
        <v>0</v>
      </c>
      <c r="M158" s="1">
        <v>265</v>
      </c>
      <c r="N158" s="1">
        <v>776</v>
      </c>
      <c r="O158" s="1">
        <v>3313</v>
      </c>
      <c r="P158" s="1" t="s">
        <v>19</v>
      </c>
      <c r="Q158" s="2"/>
      <c r="R158" s="1"/>
      <c r="S158" s="1"/>
      <c r="T158" s="1"/>
      <c r="U158" t="str">
        <f>TEXT(Merge2[[#This Row],[ActivityDate]],"dddd")</f>
        <v>Sunday</v>
      </c>
    </row>
    <row r="159" spans="1:21" x14ac:dyDescent="0.35">
      <c r="A159" s="1">
        <v>4057192912</v>
      </c>
      <c r="B159" s="2">
        <v>42463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1440</v>
      </c>
      <c r="O159" s="1">
        <v>1776</v>
      </c>
      <c r="P159" s="1" t="s">
        <v>17</v>
      </c>
      <c r="Q159" s="2"/>
      <c r="R159" s="1"/>
      <c r="S159" s="1"/>
      <c r="T159" s="1"/>
      <c r="U159" t="str">
        <f>TEXT(Merge2[[#This Row],[ActivityDate]],"dddd")</f>
        <v>Sunday</v>
      </c>
    </row>
    <row r="160" spans="1:21" x14ac:dyDescent="0.35">
      <c r="A160" s="1">
        <v>4319703577</v>
      </c>
      <c r="B160" s="2">
        <v>42463</v>
      </c>
      <c r="C160" s="1">
        <v>8223</v>
      </c>
      <c r="D160" s="1">
        <v>5.5199999809999998</v>
      </c>
      <c r="E160" s="1">
        <v>5.5199999809999998</v>
      </c>
      <c r="F160" s="1">
        <v>0</v>
      </c>
      <c r="G160" s="1">
        <v>0.80000001200000004</v>
      </c>
      <c r="H160" s="1">
        <v>1.5099999900000001</v>
      </c>
      <c r="I160" s="1">
        <v>3.210000038</v>
      </c>
      <c r="J160" s="1">
        <v>0</v>
      </c>
      <c r="K160" s="1">
        <v>12</v>
      </c>
      <c r="L160" s="1">
        <v>37</v>
      </c>
      <c r="M160" s="1">
        <v>257</v>
      </c>
      <c r="N160" s="1">
        <v>551</v>
      </c>
      <c r="O160" s="1">
        <v>2178</v>
      </c>
      <c r="P160" s="1" t="s">
        <v>18</v>
      </c>
      <c r="Q160" s="2"/>
      <c r="R160" s="1"/>
      <c r="S160" s="1"/>
      <c r="T160" s="1"/>
      <c r="U160" t="str">
        <f>TEXT(Merge2[[#This Row],[ActivityDate]],"dddd")</f>
        <v>Sunday</v>
      </c>
    </row>
    <row r="161" spans="1:21" x14ac:dyDescent="0.35">
      <c r="A161" s="1">
        <v>4388161847</v>
      </c>
      <c r="B161" s="2">
        <v>42463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1440</v>
      </c>
      <c r="O161" s="1">
        <v>1878</v>
      </c>
      <c r="P161" s="1" t="s">
        <v>17</v>
      </c>
      <c r="Q161" s="2"/>
      <c r="R161" s="1"/>
      <c r="S161" s="1"/>
      <c r="T161" s="1"/>
      <c r="U161" t="str">
        <f>TEXT(Merge2[[#This Row],[ActivityDate]],"dddd")</f>
        <v>Sunday</v>
      </c>
    </row>
    <row r="162" spans="1:21" x14ac:dyDescent="0.35">
      <c r="A162" s="1">
        <v>4445114986</v>
      </c>
      <c r="B162" s="2">
        <v>42463</v>
      </c>
      <c r="C162" s="1">
        <v>3146</v>
      </c>
      <c r="D162" s="1">
        <v>2.1099998950000001</v>
      </c>
      <c r="E162" s="1">
        <v>2.1099998950000001</v>
      </c>
      <c r="F162" s="1">
        <v>0</v>
      </c>
      <c r="G162" s="1">
        <v>0</v>
      </c>
      <c r="H162" s="1">
        <v>0</v>
      </c>
      <c r="I162" s="1">
        <v>2.1099998950000001</v>
      </c>
      <c r="J162" s="1">
        <v>0</v>
      </c>
      <c r="K162" s="1">
        <v>0</v>
      </c>
      <c r="L162" s="1">
        <v>0</v>
      </c>
      <c r="M162" s="1">
        <v>171</v>
      </c>
      <c r="N162" s="1">
        <v>1269</v>
      </c>
      <c r="O162" s="1">
        <v>2058</v>
      </c>
      <c r="P162" s="1" t="s">
        <v>17</v>
      </c>
      <c r="Q162" s="2"/>
      <c r="R162" s="1"/>
      <c r="S162" s="1"/>
      <c r="T162" s="1"/>
      <c r="U162" t="str">
        <f>TEXT(Merge2[[#This Row],[ActivityDate]],"dddd")</f>
        <v>Sunday</v>
      </c>
    </row>
    <row r="163" spans="1:21" x14ac:dyDescent="0.35">
      <c r="A163" s="1">
        <v>4558609924</v>
      </c>
      <c r="B163" s="2">
        <v>42463</v>
      </c>
      <c r="C163" s="1">
        <v>6176</v>
      </c>
      <c r="D163" s="1">
        <v>4.079999924</v>
      </c>
      <c r="E163" s="1">
        <v>4.079999924</v>
      </c>
      <c r="F163" s="1">
        <v>0</v>
      </c>
      <c r="G163" s="1">
        <v>7.0000000000000007E-2</v>
      </c>
      <c r="H163" s="1">
        <v>0.25999999000000001</v>
      </c>
      <c r="I163" s="1">
        <v>3.75</v>
      </c>
      <c r="J163" s="1">
        <v>0</v>
      </c>
      <c r="K163" s="1">
        <v>1</v>
      </c>
      <c r="L163" s="1">
        <v>7</v>
      </c>
      <c r="M163" s="1">
        <v>269</v>
      </c>
      <c r="N163" s="1">
        <v>886</v>
      </c>
      <c r="O163" s="1">
        <v>1901</v>
      </c>
      <c r="P163" s="1" t="s">
        <v>19</v>
      </c>
      <c r="Q163" s="2"/>
      <c r="R163" s="1"/>
      <c r="S163" s="1"/>
      <c r="T163" s="1"/>
      <c r="U163" t="str">
        <f>TEXT(Merge2[[#This Row],[ActivityDate]],"dddd")</f>
        <v>Sunday</v>
      </c>
    </row>
    <row r="164" spans="1:21" x14ac:dyDescent="0.35">
      <c r="A164" s="1">
        <v>4702921684</v>
      </c>
      <c r="B164" s="2">
        <v>42463</v>
      </c>
      <c r="C164" s="1">
        <v>12116</v>
      </c>
      <c r="D164" s="1">
        <v>9.8299999239999991</v>
      </c>
      <c r="E164" s="1">
        <v>9.8299999239999991</v>
      </c>
      <c r="F164" s="1">
        <v>0</v>
      </c>
      <c r="G164" s="1">
        <v>0.25</v>
      </c>
      <c r="H164" s="1">
        <v>2.8499999049999998</v>
      </c>
      <c r="I164" s="1">
        <v>6.7199997900000001</v>
      </c>
      <c r="J164" s="1">
        <v>0</v>
      </c>
      <c r="K164" s="1">
        <v>3</v>
      </c>
      <c r="L164" s="1">
        <v>57</v>
      </c>
      <c r="M164" s="1">
        <v>323</v>
      </c>
      <c r="N164" s="1">
        <v>471</v>
      </c>
      <c r="O164" s="1">
        <v>3357</v>
      </c>
      <c r="P164" s="1" t="s">
        <v>16</v>
      </c>
      <c r="Q164" s="2"/>
      <c r="R164" s="1"/>
      <c r="S164" s="1"/>
      <c r="T164" s="1"/>
      <c r="U164" t="str">
        <f>TEXT(Merge2[[#This Row],[ActivityDate]],"dddd")</f>
        <v>Sunday</v>
      </c>
    </row>
    <row r="165" spans="1:21" x14ac:dyDescent="0.35">
      <c r="A165" s="1">
        <v>5553957443</v>
      </c>
      <c r="B165" s="2">
        <v>42463</v>
      </c>
      <c r="C165" s="1">
        <v>1515</v>
      </c>
      <c r="D165" s="1">
        <v>0.99000001000000004</v>
      </c>
      <c r="E165" s="1">
        <v>0.99000001000000004</v>
      </c>
      <c r="F165" s="1">
        <v>0</v>
      </c>
      <c r="G165" s="1">
        <v>0</v>
      </c>
      <c r="H165" s="1">
        <v>0</v>
      </c>
      <c r="I165" s="1">
        <v>0.99000001000000004</v>
      </c>
      <c r="J165" s="1">
        <v>0</v>
      </c>
      <c r="K165" s="1">
        <v>0</v>
      </c>
      <c r="L165" s="1">
        <v>0</v>
      </c>
      <c r="M165" s="1">
        <v>93</v>
      </c>
      <c r="N165" s="1">
        <v>507</v>
      </c>
      <c r="O165" s="1">
        <v>1481</v>
      </c>
      <c r="P165" s="1" t="s">
        <v>17</v>
      </c>
      <c r="Q165" s="2"/>
      <c r="R165" s="1"/>
      <c r="S165" s="1"/>
      <c r="T165" s="1"/>
      <c r="U165" t="str">
        <f>TEXT(Merge2[[#This Row],[ActivityDate]],"dddd")</f>
        <v>Sunday</v>
      </c>
    </row>
    <row r="166" spans="1:21" x14ac:dyDescent="0.35">
      <c r="A166" s="1">
        <v>5577150313</v>
      </c>
      <c r="B166" s="2">
        <v>42463</v>
      </c>
      <c r="C166" s="1">
        <v>9917</v>
      </c>
      <c r="D166" s="1">
        <v>7.4099998469999999</v>
      </c>
      <c r="E166" s="1">
        <v>7.4099998469999999</v>
      </c>
      <c r="F166" s="1">
        <v>0</v>
      </c>
      <c r="G166" s="1">
        <v>1.9900000099999999</v>
      </c>
      <c r="H166" s="1">
        <v>0.97000002900000004</v>
      </c>
      <c r="I166" s="1">
        <v>4.4400000569999998</v>
      </c>
      <c r="J166" s="1">
        <v>0</v>
      </c>
      <c r="K166" s="1">
        <v>58</v>
      </c>
      <c r="L166" s="1">
        <v>27</v>
      </c>
      <c r="M166" s="1">
        <v>240</v>
      </c>
      <c r="N166" s="1">
        <v>700</v>
      </c>
      <c r="O166" s="1">
        <v>3427</v>
      </c>
      <c r="P166" s="1" t="s">
        <v>18</v>
      </c>
      <c r="Q166" s="2"/>
      <c r="R166" s="1"/>
      <c r="S166" s="1"/>
      <c r="T166" s="1"/>
      <c r="U166" t="str">
        <f>TEXT(Merge2[[#This Row],[ActivityDate]],"dddd")</f>
        <v>Sunday</v>
      </c>
    </row>
    <row r="167" spans="1:21" x14ac:dyDescent="0.35">
      <c r="A167" s="1">
        <v>6117666160</v>
      </c>
      <c r="B167" s="2">
        <v>42463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1440</v>
      </c>
      <c r="O167" s="1">
        <v>1496</v>
      </c>
      <c r="P167" s="1" t="s">
        <v>17</v>
      </c>
      <c r="Q167" s="2"/>
      <c r="R167" s="1"/>
      <c r="S167" s="1"/>
      <c r="T167" s="1"/>
      <c r="U167" t="str">
        <f>TEXT(Merge2[[#This Row],[ActivityDate]],"dddd")</f>
        <v>Sunday</v>
      </c>
    </row>
    <row r="168" spans="1:21" x14ac:dyDescent="0.35">
      <c r="A168" s="1">
        <v>6290855005</v>
      </c>
      <c r="B168" s="2">
        <v>42463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33</v>
      </c>
      <c r="L168" s="1">
        <v>0</v>
      </c>
      <c r="M168" s="1">
        <v>0</v>
      </c>
      <c r="N168" s="1">
        <v>1407</v>
      </c>
      <c r="O168" s="1">
        <v>2664</v>
      </c>
      <c r="P168" s="1" t="s">
        <v>17</v>
      </c>
      <c r="Q168" s="2"/>
      <c r="R168" s="1"/>
      <c r="S168" s="1"/>
      <c r="T168" s="1"/>
      <c r="U168" t="str">
        <f>TEXT(Merge2[[#This Row],[ActivityDate]],"dddd")</f>
        <v>Sunday</v>
      </c>
    </row>
    <row r="169" spans="1:21" x14ac:dyDescent="0.35">
      <c r="A169" s="1">
        <v>6391747486</v>
      </c>
      <c r="B169" s="2">
        <v>42463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1440</v>
      </c>
      <c r="O169" s="1">
        <v>1820</v>
      </c>
      <c r="P169" s="1" t="s">
        <v>17</v>
      </c>
      <c r="Q169" s="2"/>
      <c r="R169" s="1"/>
      <c r="S169" s="1"/>
      <c r="T169" s="1"/>
      <c r="U169" t="str">
        <f>TEXT(Merge2[[#This Row],[ActivityDate]],"dddd")</f>
        <v>Sunday</v>
      </c>
    </row>
    <row r="170" spans="1:21" x14ac:dyDescent="0.35">
      <c r="A170" s="1">
        <v>6775888955</v>
      </c>
      <c r="B170" s="2">
        <v>42463</v>
      </c>
      <c r="C170" s="1">
        <v>1577</v>
      </c>
      <c r="D170" s="1">
        <v>1.1299999949999999</v>
      </c>
      <c r="E170" s="1">
        <v>1.1299999949999999</v>
      </c>
      <c r="F170" s="1">
        <v>0</v>
      </c>
      <c r="G170" s="1">
        <v>7.0000000000000007E-2</v>
      </c>
      <c r="H170" s="1">
        <v>0.88999998599999997</v>
      </c>
      <c r="I170" s="1">
        <v>0.17000000200000001</v>
      </c>
      <c r="J170" s="1">
        <v>0</v>
      </c>
      <c r="K170" s="1">
        <v>1</v>
      </c>
      <c r="L170" s="1">
        <v>17</v>
      </c>
      <c r="M170" s="1">
        <v>8</v>
      </c>
      <c r="N170" s="1">
        <v>1414</v>
      </c>
      <c r="O170" s="1">
        <v>1977</v>
      </c>
      <c r="P170" s="1" t="s">
        <v>17</v>
      </c>
      <c r="Q170" s="2"/>
      <c r="R170" s="1"/>
      <c r="S170" s="1"/>
      <c r="T170" s="1"/>
      <c r="U170" t="str">
        <f>TEXT(Merge2[[#This Row],[ActivityDate]],"dddd")</f>
        <v>Sunday</v>
      </c>
    </row>
    <row r="171" spans="1:21" x14ac:dyDescent="0.35">
      <c r="A171" s="1">
        <v>6962181067</v>
      </c>
      <c r="B171" s="2">
        <v>42463</v>
      </c>
      <c r="C171" s="1">
        <v>12307</v>
      </c>
      <c r="D171" s="1">
        <v>8.1400003430000005</v>
      </c>
      <c r="E171" s="1">
        <v>8.1400003430000005</v>
      </c>
      <c r="F171" s="1">
        <v>0</v>
      </c>
      <c r="G171" s="1">
        <v>1.0099999900000001</v>
      </c>
      <c r="H171" s="1">
        <v>3.2599999899999998</v>
      </c>
      <c r="I171" s="1">
        <v>3.869999886</v>
      </c>
      <c r="J171" s="1">
        <v>0</v>
      </c>
      <c r="K171" s="1">
        <v>14</v>
      </c>
      <c r="L171" s="1">
        <v>51</v>
      </c>
      <c r="M171" s="1">
        <v>218</v>
      </c>
      <c r="N171" s="1">
        <v>589</v>
      </c>
      <c r="O171" s="1">
        <v>2055</v>
      </c>
      <c r="P171" s="1" t="s">
        <v>16</v>
      </c>
      <c r="Q171" s="2"/>
      <c r="R171" s="1"/>
      <c r="S171" s="1"/>
      <c r="T171" s="1"/>
      <c r="U171" t="str">
        <f>TEXT(Merge2[[#This Row],[ActivityDate]],"dddd")</f>
        <v>Sunday</v>
      </c>
    </row>
    <row r="172" spans="1:21" x14ac:dyDescent="0.35">
      <c r="A172" s="1">
        <v>7007744171</v>
      </c>
      <c r="B172" s="2">
        <v>42463</v>
      </c>
      <c r="C172" s="1">
        <v>16806</v>
      </c>
      <c r="D172" s="1">
        <v>11.239999770000001</v>
      </c>
      <c r="E172" s="1">
        <v>11.239999770000001</v>
      </c>
      <c r="F172" s="1">
        <v>0</v>
      </c>
      <c r="G172" s="1">
        <v>6.4099998469999999</v>
      </c>
      <c r="H172" s="1">
        <v>1.3700000050000001</v>
      </c>
      <c r="I172" s="1">
        <v>3.4700000289999999</v>
      </c>
      <c r="J172" s="1">
        <v>0</v>
      </c>
      <c r="K172" s="1">
        <v>104</v>
      </c>
      <c r="L172" s="1">
        <v>31</v>
      </c>
      <c r="M172" s="1">
        <v>230</v>
      </c>
      <c r="N172" s="1">
        <v>1002</v>
      </c>
      <c r="O172" s="1">
        <v>3086</v>
      </c>
      <c r="P172" s="1" t="s">
        <v>16</v>
      </c>
      <c r="Q172" s="2"/>
      <c r="R172" s="1"/>
      <c r="S172" s="1"/>
      <c r="T172" s="1"/>
      <c r="U172" t="str">
        <f>TEXT(Merge2[[#This Row],[ActivityDate]],"dddd")</f>
        <v>Sunday</v>
      </c>
    </row>
    <row r="173" spans="1:21" x14ac:dyDescent="0.35">
      <c r="A173" s="1">
        <v>7086361926</v>
      </c>
      <c r="B173" s="2">
        <v>42463</v>
      </c>
      <c r="C173" s="1">
        <v>1949</v>
      </c>
      <c r="D173" s="1">
        <v>1.309999943</v>
      </c>
      <c r="E173" s="1">
        <v>1.309999943</v>
      </c>
      <c r="F173" s="1">
        <v>0</v>
      </c>
      <c r="G173" s="1">
        <v>0.23000000400000001</v>
      </c>
      <c r="H173" s="1">
        <v>0.34999999399999998</v>
      </c>
      <c r="I173" s="1">
        <v>0.730000019</v>
      </c>
      <c r="J173" s="1">
        <v>0</v>
      </c>
      <c r="K173" s="1">
        <v>3</v>
      </c>
      <c r="L173" s="1">
        <v>6</v>
      </c>
      <c r="M173" s="1">
        <v>27</v>
      </c>
      <c r="N173" s="1">
        <v>1404</v>
      </c>
      <c r="O173" s="1">
        <v>1794</v>
      </c>
      <c r="P173" s="1" t="s">
        <v>17</v>
      </c>
      <c r="Q173" s="2"/>
      <c r="R173" s="1"/>
      <c r="S173" s="1"/>
      <c r="T173" s="1"/>
      <c r="U173" t="str">
        <f>TEXT(Merge2[[#This Row],[ActivityDate]],"dddd")</f>
        <v>Sunday</v>
      </c>
    </row>
    <row r="174" spans="1:21" x14ac:dyDescent="0.35">
      <c r="A174" s="1">
        <v>8053475328</v>
      </c>
      <c r="B174" s="2">
        <v>42463</v>
      </c>
      <c r="C174" s="1">
        <v>25701</v>
      </c>
      <c r="D174" s="1">
        <v>20.13999939</v>
      </c>
      <c r="E174" s="1">
        <v>20.13999939</v>
      </c>
      <c r="F174" s="1">
        <v>0</v>
      </c>
      <c r="G174" s="1">
        <v>16.81999969</v>
      </c>
      <c r="H174" s="1">
        <v>1.6299999949999999</v>
      </c>
      <c r="I174" s="1">
        <v>1.690000057</v>
      </c>
      <c r="J174" s="1">
        <v>0</v>
      </c>
      <c r="K174" s="1">
        <v>165</v>
      </c>
      <c r="L174" s="1">
        <v>36</v>
      </c>
      <c r="M174" s="1">
        <v>97</v>
      </c>
      <c r="N174" s="1">
        <v>1142</v>
      </c>
      <c r="O174" s="1">
        <v>3697</v>
      </c>
      <c r="P174" s="1" t="s">
        <v>16</v>
      </c>
      <c r="Q174" s="2"/>
      <c r="R174" s="1"/>
      <c r="S174" s="1"/>
      <c r="T174" s="1"/>
      <c r="U174" t="str">
        <f>TEXT(Merge2[[#This Row],[ActivityDate]],"dddd")</f>
        <v>Sunday</v>
      </c>
    </row>
    <row r="175" spans="1:21" x14ac:dyDescent="0.35">
      <c r="A175" s="1">
        <v>8253242879</v>
      </c>
      <c r="B175" s="2">
        <v>42463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1440</v>
      </c>
      <c r="O175" s="1">
        <v>1429</v>
      </c>
      <c r="P175" s="1" t="s">
        <v>17</v>
      </c>
      <c r="Q175" s="2"/>
      <c r="R175" s="1"/>
      <c r="S175" s="1"/>
      <c r="T175" s="1"/>
      <c r="U175" t="str">
        <f>TEXT(Merge2[[#This Row],[ActivityDate]],"dddd")</f>
        <v>Sunday</v>
      </c>
    </row>
    <row r="176" spans="1:21" x14ac:dyDescent="0.35">
      <c r="A176" s="1">
        <v>8378563200</v>
      </c>
      <c r="B176" s="2">
        <v>42463</v>
      </c>
      <c r="C176" s="1">
        <v>9152</v>
      </c>
      <c r="D176" s="1">
        <v>7.2600002290000001</v>
      </c>
      <c r="E176" s="1">
        <v>7.2600002290000001</v>
      </c>
      <c r="F176" s="1">
        <v>0</v>
      </c>
      <c r="G176" s="1">
        <v>1.9900000099999999</v>
      </c>
      <c r="H176" s="1">
        <v>0.81999999300000004</v>
      </c>
      <c r="I176" s="1">
        <v>4.4499998090000004</v>
      </c>
      <c r="J176" s="1">
        <v>0</v>
      </c>
      <c r="K176" s="1">
        <v>25</v>
      </c>
      <c r="L176" s="1">
        <v>13</v>
      </c>
      <c r="M176" s="1">
        <v>243</v>
      </c>
      <c r="N176" s="1">
        <v>600</v>
      </c>
      <c r="O176" s="1">
        <v>3304</v>
      </c>
      <c r="P176" s="1" t="s">
        <v>18</v>
      </c>
      <c r="Q176" s="2"/>
      <c r="R176" s="1"/>
      <c r="S176" s="1"/>
      <c r="T176" s="1"/>
      <c r="U176" t="str">
        <f>TEXT(Merge2[[#This Row],[ActivityDate]],"dddd")</f>
        <v>Sunday</v>
      </c>
    </row>
    <row r="177" spans="1:21" x14ac:dyDescent="0.35">
      <c r="A177" s="1">
        <v>8583815059</v>
      </c>
      <c r="B177" s="2">
        <v>42463</v>
      </c>
      <c r="C177" s="1">
        <v>2380</v>
      </c>
      <c r="D177" s="1">
        <v>1.8600000139999999</v>
      </c>
      <c r="E177" s="1">
        <v>1.8600000139999999</v>
      </c>
      <c r="F177" s="1">
        <v>0</v>
      </c>
      <c r="G177" s="1">
        <v>0</v>
      </c>
      <c r="H177" s="1">
        <v>0</v>
      </c>
      <c r="I177" s="1">
        <v>1.8600000139999999</v>
      </c>
      <c r="J177" s="1">
        <v>0</v>
      </c>
      <c r="K177" s="1">
        <v>0</v>
      </c>
      <c r="L177" s="1">
        <v>0</v>
      </c>
      <c r="M177" s="1">
        <v>131</v>
      </c>
      <c r="N177" s="1">
        <v>1309</v>
      </c>
      <c r="O177" s="1">
        <v>2400</v>
      </c>
      <c r="P177" s="1" t="s">
        <v>17</v>
      </c>
      <c r="Q177" s="2"/>
      <c r="R177" s="1"/>
      <c r="S177" s="1"/>
      <c r="T177" s="1"/>
      <c r="U177" t="str">
        <f>TEXT(Merge2[[#This Row],[ActivityDate]],"dddd")</f>
        <v>Sunday</v>
      </c>
    </row>
    <row r="178" spans="1:21" x14ac:dyDescent="0.35">
      <c r="A178" s="1">
        <v>8792009665</v>
      </c>
      <c r="B178" s="2">
        <v>42463</v>
      </c>
      <c r="C178" s="1">
        <v>7238</v>
      </c>
      <c r="D178" s="1">
        <v>4.6300001139999996</v>
      </c>
      <c r="E178" s="1">
        <v>4.6300001139999996</v>
      </c>
      <c r="F178" s="1">
        <v>0</v>
      </c>
      <c r="G178" s="1">
        <v>0.109999999</v>
      </c>
      <c r="H178" s="1">
        <v>0.23000000400000001</v>
      </c>
      <c r="I178" s="1">
        <v>4.2899999619999996</v>
      </c>
      <c r="J178" s="1">
        <v>0</v>
      </c>
      <c r="K178" s="1">
        <v>2</v>
      </c>
      <c r="L178" s="1">
        <v>6</v>
      </c>
      <c r="M178" s="1">
        <v>279</v>
      </c>
      <c r="N178" s="1">
        <v>636</v>
      </c>
      <c r="O178" s="1">
        <v>2667</v>
      </c>
      <c r="P178" s="1" t="s">
        <v>19</v>
      </c>
      <c r="Q178" s="2"/>
      <c r="R178" s="1"/>
      <c r="S178" s="1"/>
      <c r="T178" s="1"/>
      <c r="U178" t="str">
        <f>TEXT(Merge2[[#This Row],[ActivityDate]],"dddd")</f>
        <v>Sunday</v>
      </c>
    </row>
    <row r="179" spans="1:21" x14ac:dyDescent="0.35">
      <c r="A179" s="1">
        <v>8877689391</v>
      </c>
      <c r="B179" s="2">
        <v>42463</v>
      </c>
      <c r="C179" s="1">
        <v>15260</v>
      </c>
      <c r="D179" s="1">
        <v>8.1899995800000003</v>
      </c>
      <c r="E179" s="1">
        <v>8.1899995800000003</v>
      </c>
      <c r="F179" s="1">
        <v>0</v>
      </c>
      <c r="G179" s="1">
        <v>1.7999999520000001</v>
      </c>
      <c r="H179" s="1">
        <v>0.75</v>
      </c>
      <c r="I179" s="1">
        <v>5.5700001720000003</v>
      </c>
      <c r="J179" s="1">
        <v>0</v>
      </c>
      <c r="K179" s="1">
        <v>106</v>
      </c>
      <c r="L179" s="1">
        <v>17</v>
      </c>
      <c r="M179" s="1">
        <v>259</v>
      </c>
      <c r="N179" s="1">
        <v>1058</v>
      </c>
      <c r="O179" s="1">
        <v>3864</v>
      </c>
      <c r="P179" s="1" t="s">
        <v>16</v>
      </c>
      <c r="Q179" s="2"/>
      <c r="R179" s="1"/>
      <c r="S179" s="1"/>
      <c r="T179" s="1"/>
      <c r="U179" t="str">
        <f>TEXT(Merge2[[#This Row],[ActivityDate]],"dddd")</f>
        <v>Sunday</v>
      </c>
    </row>
    <row r="180" spans="1:21" x14ac:dyDescent="0.35">
      <c r="A180" s="1">
        <v>1503960366</v>
      </c>
      <c r="B180" s="2">
        <v>42464</v>
      </c>
      <c r="C180" s="1">
        <v>14557</v>
      </c>
      <c r="D180" s="1">
        <v>9.8000001910000005</v>
      </c>
      <c r="E180" s="1">
        <v>9.8000001910000005</v>
      </c>
      <c r="F180" s="1">
        <v>0</v>
      </c>
      <c r="G180" s="1">
        <v>3.3900001049999999</v>
      </c>
      <c r="H180" s="1">
        <v>0.69999998799999996</v>
      </c>
      <c r="I180" s="1">
        <v>5.6900000569999998</v>
      </c>
      <c r="J180" s="1">
        <v>0</v>
      </c>
      <c r="K180" s="1">
        <v>43</v>
      </c>
      <c r="L180" s="1">
        <v>18</v>
      </c>
      <c r="M180" s="1">
        <v>285</v>
      </c>
      <c r="N180" s="1">
        <v>757</v>
      </c>
      <c r="O180" s="1">
        <v>2030</v>
      </c>
      <c r="P180" s="1" t="s">
        <v>16</v>
      </c>
      <c r="Q180" s="2"/>
      <c r="R180" s="1"/>
      <c r="S180" s="1"/>
      <c r="T180" s="1"/>
      <c r="U180" t="str">
        <f>TEXT(Merge2[[#This Row],[ActivityDate]],"dddd")</f>
        <v>Monday</v>
      </c>
    </row>
    <row r="181" spans="1:21" x14ac:dyDescent="0.35">
      <c r="A181" s="1">
        <v>1624580081</v>
      </c>
      <c r="B181" s="2">
        <v>42464</v>
      </c>
      <c r="C181" s="1">
        <v>18464</v>
      </c>
      <c r="D181" s="1">
        <v>12</v>
      </c>
      <c r="E181" s="1">
        <v>12</v>
      </c>
      <c r="F181" s="1">
        <v>0</v>
      </c>
      <c r="G181" s="1">
        <v>0</v>
      </c>
      <c r="H181" s="1">
        <v>0</v>
      </c>
      <c r="I181" s="1">
        <v>12</v>
      </c>
      <c r="J181" s="1">
        <v>0</v>
      </c>
      <c r="K181" s="1">
        <v>0</v>
      </c>
      <c r="L181" s="1">
        <v>0</v>
      </c>
      <c r="M181" s="1">
        <v>270</v>
      </c>
      <c r="N181" s="1">
        <v>1170</v>
      </c>
      <c r="O181" s="1">
        <v>1574</v>
      </c>
      <c r="P181" s="1" t="s">
        <v>16</v>
      </c>
      <c r="Q181" s="2"/>
      <c r="R181" s="1"/>
      <c r="S181" s="1"/>
      <c r="T181" s="1"/>
      <c r="U181" t="str">
        <f>TEXT(Merge2[[#This Row],[ActivityDate]],"dddd")</f>
        <v>Monday</v>
      </c>
    </row>
    <row r="182" spans="1:21" x14ac:dyDescent="0.35">
      <c r="A182" s="1">
        <v>1644430081</v>
      </c>
      <c r="B182" s="2">
        <v>42464</v>
      </c>
      <c r="C182" s="1">
        <v>2819</v>
      </c>
      <c r="D182" s="1">
        <v>2.0499999519999998</v>
      </c>
      <c r="E182" s="1">
        <v>2.0499999519999998</v>
      </c>
      <c r="F182" s="1">
        <v>0</v>
      </c>
      <c r="G182" s="1">
        <v>0.310000002</v>
      </c>
      <c r="H182" s="1">
        <v>0.17000000200000001</v>
      </c>
      <c r="I182" s="1">
        <v>1.559999943</v>
      </c>
      <c r="J182" s="1">
        <v>0.01</v>
      </c>
      <c r="K182" s="1">
        <v>4</v>
      </c>
      <c r="L182" s="1">
        <v>4</v>
      </c>
      <c r="M182" s="1">
        <v>87</v>
      </c>
      <c r="N182" s="1">
        <v>1345</v>
      </c>
      <c r="O182" s="1">
        <v>2444</v>
      </c>
      <c r="P182" s="1" t="s">
        <v>17</v>
      </c>
      <c r="Q182" s="2"/>
      <c r="R182" s="1"/>
      <c r="S182" s="1"/>
      <c r="T182" s="1"/>
      <c r="U182" t="str">
        <f>TEXT(Merge2[[#This Row],[ActivityDate]],"dddd")</f>
        <v>Monday</v>
      </c>
    </row>
    <row r="183" spans="1:21" x14ac:dyDescent="0.35">
      <c r="A183" s="1">
        <v>1844505072</v>
      </c>
      <c r="B183" s="2">
        <v>42464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669</v>
      </c>
      <c r="O183" s="1">
        <v>1347</v>
      </c>
      <c r="P183" s="1" t="s">
        <v>17</v>
      </c>
      <c r="Q183" s="2"/>
      <c r="R183" s="1"/>
      <c r="S183" s="1"/>
      <c r="T183" s="1"/>
      <c r="U183" t="str">
        <f>TEXT(Merge2[[#This Row],[ActivityDate]],"dddd")</f>
        <v>Monday</v>
      </c>
    </row>
    <row r="184" spans="1:21" x14ac:dyDescent="0.35">
      <c r="A184" s="1">
        <v>1927972279</v>
      </c>
      <c r="B184" s="2">
        <v>42464</v>
      </c>
      <c r="C184" s="1">
        <v>2352</v>
      </c>
      <c r="D184" s="1">
        <v>1.6299999949999999</v>
      </c>
      <c r="E184" s="1">
        <v>1.6299999949999999</v>
      </c>
      <c r="F184" s="1">
        <v>0</v>
      </c>
      <c r="G184" s="1">
        <v>0</v>
      </c>
      <c r="H184" s="1">
        <v>0</v>
      </c>
      <c r="I184" s="1">
        <v>1.6299999949999999</v>
      </c>
      <c r="J184" s="1">
        <v>0</v>
      </c>
      <c r="K184" s="1">
        <v>0</v>
      </c>
      <c r="L184" s="1">
        <v>0</v>
      </c>
      <c r="M184" s="1">
        <v>128</v>
      </c>
      <c r="N184" s="1">
        <v>829</v>
      </c>
      <c r="O184" s="1">
        <v>2380</v>
      </c>
      <c r="P184" s="1" t="s">
        <v>17</v>
      </c>
      <c r="Q184" s="2"/>
      <c r="R184" s="1"/>
      <c r="S184" s="1"/>
      <c r="T184" s="1"/>
      <c r="U184" t="str">
        <f>TEXT(Merge2[[#This Row],[ActivityDate]],"dddd")</f>
        <v>Monday</v>
      </c>
    </row>
    <row r="185" spans="1:21" x14ac:dyDescent="0.35">
      <c r="A185" s="1">
        <v>2022484408</v>
      </c>
      <c r="B185" s="2">
        <v>42464</v>
      </c>
      <c r="C185" s="1">
        <v>15313</v>
      </c>
      <c r="D185" s="1">
        <v>11</v>
      </c>
      <c r="E185" s="1">
        <v>11</v>
      </c>
      <c r="F185" s="1">
        <v>0</v>
      </c>
      <c r="G185" s="1">
        <v>5.0199999809999998</v>
      </c>
      <c r="H185" s="1">
        <v>1.289999962</v>
      </c>
      <c r="I185" s="1">
        <v>4.6900000569999998</v>
      </c>
      <c r="J185" s="1">
        <v>0</v>
      </c>
      <c r="K185" s="1">
        <v>62</v>
      </c>
      <c r="L185" s="1">
        <v>19</v>
      </c>
      <c r="M185" s="1">
        <v>233</v>
      </c>
      <c r="N185" s="1">
        <v>1126</v>
      </c>
      <c r="O185" s="1">
        <v>2581</v>
      </c>
      <c r="P185" s="1" t="s">
        <v>16</v>
      </c>
      <c r="Q185" s="2"/>
      <c r="R185" s="1"/>
      <c r="S185" s="1"/>
      <c r="T185" s="1"/>
      <c r="U185" t="str">
        <f>TEXT(Merge2[[#This Row],[ActivityDate]],"dddd")</f>
        <v>Monday</v>
      </c>
    </row>
    <row r="186" spans="1:21" x14ac:dyDescent="0.35">
      <c r="A186" s="1">
        <v>2026352035</v>
      </c>
      <c r="B186" s="2">
        <v>42464</v>
      </c>
      <c r="C186" s="1">
        <v>6679</v>
      </c>
      <c r="D186" s="1">
        <v>4.1399998660000001</v>
      </c>
      <c r="E186" s="1">
        <v>4.1399998660000001</v>
      </c>
      <c r="F186" s="1">
        <v>0</v>
      </c>
      <c r="G186" s="1">
        <v>0</v>
      </c>
      <c r="H186" s="1">
        <v>0</v>
      </c>
      <c r="I186" s="1">
        <v>4.1399998660000001</v>
      </c>
      <c r="J186" s="1">
        <v>0</v>
      </c>
      <c r="K186" s="1">
        <v>0</v>
      </c>
      <c r="L186" s="1">
        <v>0</v>
      </c>
      <c r="M186" s="1">
        <v>263</v>
      </c>
      <c r="N186" s="1">
        <v>644</v>
      </c>
      <c r="O186" s="1">
        <v>1583</v>
      </c>
      <c r="P186" s="1" t="s">
        <v>19</v>
      </c>
      <c r="Q186" s="2"/>
      <c r="R186" s="1"/>
      <c r="S186" s="1"/>
      <c r="T186" s="1"/>
      <c r="U186" t="str">
        <f>TEXT(Merge2[[#This Row],[ActivityDate]],"dddd")</f>
        <v>Monday</v>
      </c>
    </row>
    <row r="187" spans="1:21" x14ac:dyDescent="0.35">
      <c r="A187" s="1">
        <v>2320127002</v>
      </c>
      <c r="B187" s="2">
        <v>42464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1440</v>
      </c>
      <c r="O187" s="1">
        <v>1324</v>
      </c>
      <c r="P187" s="1" t="s">
        <v>17</v>
      </c>
      <c r="Q187" s="2"/>
      <c r="R187" s="1"/>
      <c r="S187" s="1"/>
      <c r="T187" s="1"/>
      <c r="U187" t="str">
        <f>TEXT(Merge2[[#This Row],[ActivityDate]],"dddd")</f>
        <v>Monday</v>
      </c>
    </row>
    <row r="188" spans="1:21" x14ac:dyDescent="0.35">
      <c r="A188" s="1">
        <v>2347167796</v>
      </c>
      <c r="B188" s="2">
        <v>42464</v>
      </c>
      <c r="C188" s="1">
        <v>10254</v>
      </c>
      <c r="D188" s="1">
        <v>6.8000001909999996</v>
      </c>
      <c r="E188" s="1">
        <v>6.8000001909999996</v>
      </c>
      <c r="F188" s="1">
        <v>0</v>
      </c>
      <c r="G188" s="1">
        <v>1.4199999569999999</v>
      </c>
      <c r="H188" s="1">
        <v>1.230000019</v>
      </c>
      <c r="I188" s="1">
        <v>4.1599998469999999</v>
      </c>
      <c r="J188" s="1">
        <v>0</v>
      </c>
      <c r="K188" s="1">
        <v>21</v>
      </c>
      <c r="L188" s="1">
        <v>25</v>
      </c>
      <c r="M188" s="1">
        <v>231</v>
      </c>
      <c r="N188" s="1">
        <v>638</v>
      </c>
      <c r="O188" s="1">
        <v>2099</v>
      </c>
      <c r="P188" s="1" t="s">
        <v>16</v>
      </c>
      <c r="Q188" s="2"/>
      <c r="R188" s="1"/>
      <c r="S188" s="1"/>
      <c r="T188" s="1"/>
      <c r="U188" t="str">
        <f>TEXT(Merge2[[#This Row],[ActivityDate]],"dddd")</f>
        <v>Monday</v>
      </c>
    </row>
    <row r="189" spans="1:21" x14ac:dyDescent="0.35">
      <c r="A189" s="1">
        <v>2873212765</v>
      </c>
      <c r="B189" s="2">
        <v>42464</v>
      </c>
      <c r="C189" s="1">
        <v>9713</v>
      </c>
      <c r="D189" s="1">
        <v>6.5300002099999999</v>
      </c>
      <c r="E189" s="1">
        <v>6.5300002099999999</v>
      </c>
      <c r="F189" s="1">
        <v>0</v>
      </c>
      <c r="G189" s="1">
        <v>0.34000000400000002</v>
      </c>
      <c r="H189" s="1">
        <v>0.88999998599999997</v>
      </c>
      <c r="I189" s="1">
        <v>5.2899999619999996</v>
      </c>
      <c r="J189" s="1">
        <v>0</v>
      </c>
      <c r="K189" s="1">
        <v>6</v>
      </c>
      <c r="L189" s="1">
        <v>24</v>
      </c>
      <c r="M189" s="1">
        <v>355</v>
      </c>
      <c r="N189" s="1">
        <v>1055</v>
      </c>
      <c r="O189" s="1">
        <v>2046</v>
      </c>
      <c r="P189" s="1" t="s">
        <v>18</v>
      </c>
      <c r="Q189" s="2"/>
      <c r="R189" s="1"/>
      <c r="S189" s="1"/>
      <c r="T189" s="1"/>
      <c r="U189" t="str">
        <f>TEXT(Merge2[[#This Row],[ActivityDate]],"dddd")</f>
        <v>Monday</v>
      </c>
    </row>
    <row r="190" spans="1:21" x14ac:dyDescent="0.35">
      <c r="A190" s="1">
        <v>2891001357</v>
      </c>
      <c r="B190" s="2">
        <v>42464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1440</v>
      </c>
      <c r="O190" s="1">
        <v>1920</v>
      </c>
      <c r="P190" s="1" t="s">
        <v>17</v>
      </c>
      <c r="Q190" s="2"/>
      <c r="R190" s="1"/>
      <c r="S190" s="1"/>
      <c r="T190" s="1"/>
      <c r="U190" t="str">
        <f>TEXT(Merge2[[#This Row],[ActivityDate]],"dddd")</f>
        <v>Monday</v>
      </c>
    </row>
    <row r="191" spans="1:21" x14ac:dyDescent="0.35">
      <c r="A191" s="1">
        <v>3372868164</v>
      </c>
      <c r="B191" s="2">
        <v>42464</v>
      </c>
      <c r="C191" s="1">
        <v>5861</v>
      </c>
      <c r="D191" s="1">
        <v>4.0199999809999998</v>
      </c>
      <c r="E191" s="1">
        <v>4.0199999809999998</v>
      </c>
      <c r="F191" s="1">
        <v>0</v>
      </c>
      <c r="G191" s="1">
        <v>1.2999999520000001</v>
      </c>
      <c r="H191" s="1">
        <v>0.219999999</v>
      </c>
      <c r="I191" s="1">
        <v>2.4900000100000002</v>
      </c>
      <c r="J191" s="1">
        <v>0.01</v>
      </c>
      <c r="K191" s="1">
        <v>20</v>
      </c>
      <c r="L191" s="1">
        <v>7</v>
      </c>
      <c r="M191" s="1">
        <v>233</v>
      </c>
      <c r="N191" s="1">
        <v>1180</v>
      </c>
      <c r="O191" s="1">
        <v>1878</v>
      </c>
      <c r="P191" s="1" t="s">
        <v>19</v>
      </c>
      <c r="Q191" s="2"/>
      <c r="R191" s="1"/>
      <c r="S191" s="1"/>
      <c r="T191" s="1"/>
      <c r="U191" t="str">
        <f>TEXT(Merge2[[#This Row],[ActivityDate]],"dddd")</f>
        <v>Monday</v>
      </c>
    </row>
    <row r="192" spans="1:21" x14ac:dyDescent="0.35">
      <c r="A192" s="1">
        <v>3977333714</v>
      </c>
      <c r="B192" s="2">
        <v>42464</v>
      </c>
      <c r="C192" s="1">
        <v>11943</v>
      </c>
      <c r="D192" s="1">
        <v>7.9899997709999999</v>
      </c>
      <c r="E192" s="1">
        <v>7.9899997709999999</v>
      </c>
      <c r="F192" s="1">
        <v>0</v>
      </c>
      <c r="G192" s="1">
        <v>1.0299999710000001</v>
      </c>
      <c r="H192" s="1">
        <v>2.0099999899999998</v>
      </c>
      <c r="I192" s="1">
        <v>4.9499998090000004</v>
      </c>
      <c r="J192" s="1">
        <v>0</v>
      </c>
      <c r="K192" s="1">
        <v>16</v>
      </c>
      <c r="L192" s="1">
        <v>43</v>
      </c>
      <c r="M192" s="1">
        <v>297</v>
      </c>
      <c r="N192" s="1">
        <v>710</v>
      </c>
      <c r="O192" s="1">
        <v>1648</v>
      </c>
      <c r="P192" s="1" t="s">
        <v>16</v>
      </c>
      <c r="Q192" s="2"/>
      <c r="R192" s="1"/>
      <c r="S192" s="1"/>
      <c r="T192" s="1"/>
      <c r="U192" t="str">
        <f>TEXT(Merge2[[#This Row],[ActivityDate]],"dddd")</f>
        <v>Monday</v>
      </c>
    </row>
    <row r="193" spans="1:21" x14ac:dyDescent="0.35">
      <c r="A193" s="1">
        <v>4020332650</v>
      </c>
      <c r="B193" s="2">
        <v>42464</v>
      </c>
      <c r="C193" s="1">
        <v>6429</v>
      </c>
      <c r="D193" s="1">
        <v>4.5999999049999998</v>
      </c>
      <c r="E193" s="1">
        <v>4.5999999049999998</v>
      </c>
      <c r="F193" s="1">
        <v>0</v>
      </c>
      <c r="G193" s="1">
        <v>0</v>
      </c>
      <c r="H193" s="1">
        <v>0.94999998799999996</v>
      </c>
      <c r="I193" s="1">
        <v>3.6500000950000002</v>
      </c>
      <c r="J193" s="1">
        <v>0</v>
      </c>
      <c r="K193" s="1">
        <v>0</v>
      </c>
      <c r="L193" s="1">
        <v>28</v>
      </c>
      <c r="M193" s="1">
        <v>193</v>
      </c>
      <c r="N193" s="1">
        <v>741</v>
      </c>
      <c r="O193" s="1">
        <v>3118</v>
      </c>
      <c r="P193" s="1" t="s">
        <v>19</v>
      </c>
      <c r="Q193" s="2"/>
      <c r="R193" s="1"/>
      <c r="S193" s="1"/>
      <c r="T193" s="1"/>
      <c r="U193" t="str">
        <f>TEXT(Merge2[[#This Row],[ActivityDate]],"dddd")</f>
        <v>Monday</v>
      </c>
    </row>
    <row r="194" spans="1:21" x14ac:dyDescent="0.35">
      <c r="A194" s="1">
        <v>4057192912</v>
      </c>
      <c r="B194" s="2">
        <v>42464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1440</v>
      </c>
      <c r="O194" s="1">
        <v>1776</v>
      </c>
      <c r="P194" s="1" t="s">
        <v>17</v>
      </c>
      <c r="Q194" s="2"/>
      <c r="R194" s="1"/>
      <c r="S194" s="1"/>
      <c r="T194" s="1"/>
      <c r="U194" t="str">
        <f>TEXT(Merge2[[#This Row],[ActivityDate]],"dddd")</f>
        <v>Monday</v>
      </c>
    </row>
    <row r="195" spans="1:21" x14ac:dyDescent="0.35">
      <c r="A195" s="1">
        <v>4319703577</v>
      </c>
      <c r="B195" s="2">
        <v>42464</v>
      </c>
      <c r="C195" s="1">
        <v>10067</v>
      </c>
      <c r="D195" s="1">
        <v>6.7600002290000001</v>
      </c>
      <c r="E195" s="1">
        <v>6.7600002290000001</v>
      </c>
      <c r="F195" s="1">
        <v>0</v>
      </c>
      <c r="G195" s="1">
        <v>0.36000001399999998</v>
      </c>
      <c r="H195" s="1">
        <v>1.4199999569999999</v>
      </c>
      <c r="I195" s="1">
        <v>4.9699997900000001</v>
      </c>
      <c r="J195" s="1">
        <v>0</v>
      </c>
      <c r="K195" s="1">
        <v>5</v>
      </c>
      <c r="L195" s="1">
        <v>39</v>
      </c>
      <c r="M195" s="1">
        <v>313</v>
      </c>
      <c r="N195" s="1">
        <v>578</v>
      </c>
      <c r="O195" s="1">
        <v>2308</v>
      </c>
      <c r="P195" s="1" t="s">
        <v>16</v>
      </c>
      <c r="Q195" s="2"/>
      <c r="R195" s="1"/>
      <c r="S195" s="1"/>
      <c r="T195" s="1"/>
      <c r="U195" t="str">
        <f>TEXT(Merge2[[#This Row],[ActivityDate]],"dddd")</f>
        <v>Monday</v>
      </c>
    </row>
    <row r="196" spans="1:21" x14ac:dyDescent="0.35">
      <c r="A196" s="1">
        <v>4388161847</v>
      </c>
      <c r="B196" s="2">
        <v>42464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1440</v>
      </c>
      <c r="O196" s="1">
        <v>1878</v>
      </c>
      <c r="P196" s="1" t="s">
        <v>17</v>
      </c>
      <c r="Q196" s="2"/>
      <c r="R196" s="1"/>
      <c r="S196" s="1"/>
      <c r="T196" s="1"/>
      <c r="U196" t="str">
        <f>TEXT(Merge2[[#This Row],[ActivityDate]],"dddd")</f>
        <v>Monday</v>
      </c>
    </row>
    <row r="197" spans="1:21" x14ac:dyDescent="0.35">
      <c r="A197" s="1">
        <v>4445114986</v>
      </c>
      <c r="B197" s="2">
        <v>42464</v>
      </c>
      <c r="C197" s="1">
        <v>2422</v>
      </c>
      <c r="D197" s="1">
        <v>1.6299999949999999</v>
      </c>
      <c r="E197" s="1">
        <v>1.6299999949999999</v>
      </c>
      <c r="F197" s="1">
        <v>0</v>
      </c>
      <c r="G197" s="1">
        <v>0</v>
      </c>
      <c r="H197" s="1">
        <v>0</v>
      </c>
      <c r="I197" s="1">
        <v>1.6299999949999999</v>
      </c>
      <c r="J197" s="1">
        <v>0</v>
      </c>
      <c r="K197" s="1">
        <v>0</v>
      </c>
      <c r="L197" s="1">
        <v>0</v>
      </c>
      <c r="M197" s="1">
        <v>110</v>
      </c>
      <c r="N197" s="1">
        <v>1330</v>
      </c>
      <c r="O197" s="1">
        <v>1935</v>
      </c>
      <c r="P197" s="1" t="s">
        <v>17</v>
      </c>
      <c r="Q197" s="2"/>
      <c r="R197" s="1"/>
      <c r="S197" s="1"/>
      <c r="T197" s="1"/>
      <c r="U197" t="str">
        <f>TEXT(Merge2[[#This Row],[ActivityDate]],"dddd")</f>
        <v>Monday</v>
      </c>
    </row>
    <row r="198" spans="1:21" x14ac:dyDescent="0.35">
      <c r="A198" s="1">
        <v>4558609924</v>
      </c>
      <c r="B198" s="2">
        <v>42464</v>
      </c>
      <c r="C198" s="1">
        <v>8205</v>
      </c>
      <c r="D198" s="1">
        <v>5.420000076</v>
      </c>
      <c r="E198" s="1">
        <v>5.420000076</v>
      </c>
      <c r="F198" s="1">
        <v>0</v>
      </c>
      <c r="G198" s="1">
        <v>0</v>
      </c>
      <c r="H198" s="1">
        <v>0</v>
      </c>
      <c r="I198" s="1">
        <v>5.420000076</v>
      </c>
      <c r="J198" s="1">
        <v>0</v>
      </c>
      <c r="K198" s="1">
        <v>0</v>
      </c>
      <c r="L198" s="1">
        <v>0</v>
      </c>
      <c r="M198" s="1">
        <v>367</v>
      </c>
      <c r="N198" s="1">
        <v>1073</v>
      </c>
      <c r="O198" s="1">
        <v>2078</v>
      </c>
      <c r="P198" s="1" t="s">
        <v>18</v>
      </c>
      <c r="Q198" s="2"/>
      <c r="R198" s="1"/>
      <c r="S198" s="1"/>
      <c r="T198" s="1"/>
      <c r="U198" t="str">
        <f>TEXT(Merge2[[#This Row],[ActivityDate]],"dddd")</f>
        <v>Monday</v>
      </c>
    </row>
    <row r="199" spans="1:21" x14ac:dyDescent="0.35">
      <c r="A199" s="1">
        <v>4702921684</v>
      </c>
      <c r="B199" s="2">
        <v>42464</v>
      </c>
      <c r="C199" s="1">
        <v>7810</v>
      </c>
      <c r="D199" s="1">
        <v>6.3600001339999999</v>
      </c>
      <c r="E199" s="1">
        <v>6.3600001339999999</v>
      </c>
      <c r="F199" s="1">
        <v>0</v>
      </c>
      <c r="G199" s="1">
        <v>0.47999998900000002</v>
      </c>
      <c r="H199" s="1">
        <v>1.2000000479999999</v>
      </c>
      <c r="I199" s="1">
        <v>4.6799998279999997</v>
      </c>
      <c r="J199" s="1">
        <v>0</v>
      </c>
      <c r="K199" s="1">
        <v>6</v>
      </c>
      <c r="L199" s="1">
        <v>27</v>
      </c>
      <c r="M199" s="1">
        <v>216</v>
      </c>
      <c r="N199" s="1">
        <v>746</v>
      </c>
      <c r="O199" s="1">
        <v>2931</v>
      </c>
      <c r="P199" s="1" t="s">
        <v>18</v>
      </c>
      <c r="Q199" s="2"/>
      <c r="R199" s="1"/>
      <c r="S199" s="1"/>
      <c r="T199" s="1"/>
      <c r="U199" t="str">
        <f>TEXT(Merge2[[#This Row],[ActivityDate]],"dddd")</f>
        <v>Monday</v>
      </c>
    </row>
    <row r="200" spans="1:21" x14ac:dyDescent="0.35">
      <c r="A200" s="1">
        <v>5553957443</v>
      </c>
      <c r="B200" s="2">
        <v>42464</v>
      </c>
      <c r="C200" s="1">
        <v>8921</v>
      </c>
      <c r="D200" s="1">
        <v>5.8800001139999996</v>
      </c>
      <c r="E200" s="1">
        <v>5.8800001139999996</v>
      </c>
      <c r="F200" s="1">
        <v>0</v>
      </c>
      <c r="G200" s="1">
        <v>2.0699999330000001</v>
      </c>
      <c r="H200" s="1">
        <v>0.439999998</v>
      </c>
      <c r="I200" s="1">
        <v>3.3599998950000001</v>
      </c>
      <c r="J200" s="1">
        <v>0</v>
      </c>
      <c r="K200" s="1">
        <v>27</v>
      </c>
      <c r="L200" s="1">
        <v>8</v>
      </c>
      <c r="M200" s="1">
        <v>198</v>
      </c>
      <c r="N200" s="1">
        <v>754</v>
      </c>
      <c r="O200" s="1">
        <v>1892</v>
      </c>
      <c r="P200" s="1" t="s">
        <v>18</v>
      </c>
      <c r="Q200" s="2"/>
      <c r="R200" s="1"/>
      <c r="S200" s="1"/>
      <c r="T200" s="1"/>
      <c r="U200" t="str">
        <f>TEXT(Merge2[[#This Row],[ActivityDate]],"dddd")</f>
        <v>Monday</v>
      </c>
    </row>
    <row r="201" spans="1:21" x14ac:dyDescent="0.35">
      <c r="A201" s="1">
        <v>5577150313</v>
      </c>
      <c r="B201" s="2">
        <v>42464</v>
      </c>
      <c r="C201" s="1">
        <v>7401</v>
      </c>
      <c r="D201" s="1">
        <v>5.5599999430000002</v>
      </c>
      <c r="E201" s="1">
        <v>5.5599999430000002</v>
      </c>
      <c r="F201" s="1">
        <v>0</v>
      </c>
      <c r="G201" s="1">
        <v>2.3199999330000001</v>
      </c>
      <c r="H201" s="1">
        <v>0.36000001399999998</v>
      </c>
      <c r="I201" s="1">
        <v>2.880000114</v>
      </c>
      <c r="J201" s="1">
        <v>0</v>
      </c>
      <c r="K201" s="1">
        <v>70</v>
      </c>
      <c r="L201" s="1">
        <v>19</v>
      </c>
      <c r="M201" s="1">
        <v>204</v>
      </c>
      <c r="N201" s="1">
        <v>689</v>
      </c>
      <c r="O201" s="1">
        <v>3492</v>
      </c>
      <c r="P201" s="1" t="s">
        <v>19</v>
      </c>
      <c r="Q201" s="2"/>
      <c r="R201" s="1"/>
      <c r="S201" s="1"/>
      <c r="T201" s="1"/>
      <c r="U201" t="str">
        <f>TEXT(Merge2[[#This Row],[ActivityDate]],"dddd")</f>
        <v>Monday</v>
      </c>
    </row>
    <row r="202" spans="1:21" x14ac:dyDescent="0.35">
      <c r="A202" s="1">
        <v>6117666160</v>
      </c>
      <c r="B202" s="2">
        <v>42464</v>
      </c>
      <c r="C202" s="1">
        <v>8468</v>
      </c>
      <c r="D202" s="1">
        <v>6.3899998660000001</v>
      </c>
      <c r="E202" s="1">
        <v>6.3899998660000001</v>
      </c>
      <c r="F202" s="1">
        <v>0</v>
      </c>
      <c r="G202" s="1">
        <v>0.18000000699999999</v>
      </c>
      <c r="H202" s="1">
        <v>0.63999998599999997</v>
      </c>
      <c r="I202" s="1">
        <v>5.5700001720000003</v>
      </c>
      <c r="J202" s="1">
        <v>0</v>
      </c>
      <c r="K202" s="1">
        <v>2</v>
      </c>
      <c r="L202" s="1">
        <v>11</v>
      </c>
      <c r="M202" s="1">
        <v>279</v>
      </c>
      <c r="N202" s="1">
        <v>1148</v>
      </c>
      <c r="O202" s="1">
        <v>2262</v>
      </c>
      <c r="P202" s="1" t="s">
        <v>18</v>
      </c>
      <c r="Q202" s="2"/>
      <c r="R202" s="1"/>
      <c r="S202" s="1"/>
      <c r="T202" s="1"/>
      <c r="U202" t="str">
        <f>TEXT(Merge2[[#This Row],[ActivityDate]],"dddd")</f>
        <v>Monday</v>
      </c>
    </row>
    <row r="203" spans="1:21" x14ac:dyDescent="0.35">
      <c r="A203" s="1">
        <v>6290855005</v>
      </c>
      <c r="B203" s="2">
        <v>42464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1440</v>
      </c>
      <c r="O203" s="1">
        <v>2060</v>
      </c>
      <c r="P203" s="1" t="s">
        <v>17</v>
      </c>
      <c r="Q203" s="2"/>
      <c r="R203" s="1"/>
      <c r="S203" s="1"/>
      <c r="T203" s="1"/>
      <c r="U203" t="str">
        <f>TEXT(Merge2[[#This Row],[ActivityDate]],"dddd")</f>
        <v>Monday</v>
      </c>
    </row>
    <row r="204" spans="1:21" x14ac:dyDescent="0.35">
      <c r="A204" s="1">
        <v>6391747486</v>
      </c>
      <c r="B204" s="2">
        <v>42464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1440</v>
      </c>
      <c r="O204" s="1">
        <v>1820</v>
      </c>
      <c r="P204" s="1" t="s">
        <v>17</v>
      </c>
      <c r="Q204" s="2"/>
      <c r="R204" s="1"/>
      <c r="S204" s="1"/>
      <c r="T204" s="1"/>
      <c r="U204" t="str">
        <f>TEXT(Merge2[[#This Row],[ActivityDate]],"dddd")</f>
        <v>Monday</v>
      </c>
    </row>
    <row r="205" spans="1:21" x14ac:dyDescent="0.35">
      <c r="A205" s="1">
        <v>6775888955</v>
      </c>
      <c r="B205" s="2">
        <v>42464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1440</v>
      </c>
      <c r="O205" s="1">
        <v>1841</v>
      </c>
      <c r="P205" s="1" t="s">
        <v>17</v>
      </c>
      <c r="Q205" s="2"/>
      <c r="R205" s="1"/>
      <c r="S205" s="1"/>
      <c r="T205" s="1"/>
      <c r="U205" t="str">
        <f>TEXT(Merge2[[#This Row],[ActivityDate]],"dddd")</f>
        <v>Monday</v>
      </c>
    </row>
    <row r="206" spans="1:21" x14ac:dyDescent="0.35">
      <c r="A206" s="1">
        <v>6962181067</v>
      </c>
      <c r="B206" s="2">
        <v>42464</v>
      </c>
      <c r="C206" s="1">
        <v>18952</v>
      </c>
      <c r="D206" s="1">
        <v>12.80000019</v>
      </c>
      <c r="E206" s="1">
        <v>12.80000019</v>
      </c>
      <c r="F206" s="1">
        <v>0</v>
      </c>
      <c r="G206" s="1">
        <v>5.9099998469999999</v>
      </c>
      <c r="H206" s="1">
        <v>1.230000019</v>
      </c>
      <c r="I206" s="1">
        <v>5.6599998469999999</v>
      </c>
      <c r="J206" s="1">
        <v>0</v>
      </c>
      <c r="K206" s="1">
        <v>73</v>
      </c>
      <c r="L206" s="1">
        <v>20</v>
      </c>
      <c r="M206" s="1">
        <v>327</v>
      </c>
      <c r="N206" s="1">
        <v>570</v>
      </c>
      <c r="O206" s="1">
        <v>2437</v>
      </c>
      <c r="P206" s="1" t="s">
        <v>16</v>
      </c>
      <c r="Q206" s="2"/>
      <c r="R206" s="1"/>
      <c r="S206" s="1"/>
      <c r="T206" s="1"/>
      <c r="U206" t="str">
        <f>TEXT(Merge2[[#This Row],[ActivityDate]],"dddd")</f>
        <v>Monday</v>
      </c>
    </row>
    <row r="207" spans="1:21" x14ac:dyDescent="0.35">
      <c r="A207" s="1">
        <v>7007744171</v>
      </c>
      <c r="B207" s="2">
        <v>42464</v>
      </c>
      <c r="C207" s="1">
        <v>15266</v>
      </c>
      <c r="D207" s="1">
        <v>11.399999619999999</v>
      </c>
      <c r="E207" s="1">
        <v>10.210000040000001</v>
      </c>
      <c r="F207" s="1">
        <v>5.1898498540000002</v>
      </c>
      <c r="G207" s="1">
        <v>5.8000001909999996</v>
      </c>
      <c r="H207" s="1">
        <v>0.75999998999999996</v>
      </c>
      <c r="I207" s="1">
        <v>4.7899999619999996</v>
      </c>
      <c r="J207" s="1">
        <v>5.0000001000000002E-2</v>
      </c>
      <c r="K207" s="1">
        <v>70</v>
      </c>
      <c r="L207" s="1">
        <v>21</v>
      </c>
      <c r="M207" s="1">
        <v>292</v>
      </c>
      <c r="N207" s="1">
        <v>1057</v>
      </c>
      <c r="O207" s="1">
        <v>2886</v>
      </c>
      <c r="P207" s="1" t="s">
        <v>16</v>
      </c>
      <c r="Q207" s="2"/>
      <c r="R207" s="1"/>
      <c r="S207" s="1"/>
      <c r="T207" s="1"/>
      <c r="U207" t="str">
        <f>TEXT(Merge2[[#This Row],[ActivityDate]],"dddd")</f>
        <v>Monday</v>
      </c>
    </row>
    <row r="208" spans="1:21" x14ac:dyDescent="0.35">
      <c r="A208" s="1">
        <v>7086361926</v>
      </c>
      <c r="B208" s="2">
        <v>42464</v>
      </c>
      <c r="C208" s="1">
        <v>6101</v>
      </c>
      <c r="D208" s="1">
        <v>3.869999886</v>
      </c>
      <c r="E208" s="1">
        <v>3.869999886</v>
      </c>
      <c r="F208" s="1">
        <v>0</v>
      </c>
      <c r="G208" s="1">
        <v>0.52999997099999996</v>
      </c>
      <c r="H208" s="1">
        <v>0.23000000400000001</v>
      </c>
      <c r="I208" s="1">
        <v>3.0999999049999998</v>
      </c>
      <c r="J208" s="1">
        <v>0</v>
      </c>
      <c r="K208" s="1">
        <v>31</v>
      </c>
      <c r="L208" s="1">
        <v>24</v>
      </c>
      <c r="M208" s="1">
        <v>138</v>
      </c>
      <c r="N208" s="1">
        <v>1247</v>
      </c>
      <c r="O208" s="1">
        <v>2421</v>
      </c>
      <c r="P208" s="1" t="s">
        <v>19</v>
      </c>
      <c r="Q208" s="2"/>
      <c r="R208" s="1"/>
      <c r="S208" s="1"/>
      <c r="T208" s="1"/>
      <c r="U208" t="str">
        <f>TEXT(Merge2[[#This Row],[ActivityDate]],"dddd")</f>
        <v>Monday</v>
      </c>
    </row>
    <row r="209" spans="1:21" x14ac:dyDescent="0.35">
      <c r="A209" s="1">
        <v>8053475328</v>
      </c>
      <c r="B209" s="2">
        <v>42464</v>
      </c>
      <c r="C209" s="1">
        <v>17395</v>
      </c>
      <c r="D209" s="1">
        <v>13.210000040000001</v>
      </c>
      <c r="E209" s="1">
        <v>13.210000040000001</v>
      </c>
      <c r="F209" s="1">
        <v>0</v>
      </c>
      <c r="G209" s="1">
        <v>9.6700000760000009</v>
      </c>
      <c r="H209" s="1">
        <v>0.18000000699999999</v>
      </c>
      <c r="I209" s="1">
        <v>3.3499999049999998</v>
      </c>
      <c r="J209" s="1">
        <v>0</v>
      </c>
      <c r="K209" s="1">
        <v>100</v>
      </c>
      <c r="L209" s="1">
        <v>4</v>
      </c>
      <c r="M209" s="1">
        <v>213</v>
      </c>
      <c r="N209" s="1">
        <v>1123</v>
      </c>
      <c r="O209" s="1">
        <v>3209</v>
      </c>
      <c r="P209" s="1" t="s">
        <v>16</v>
      </c>
      <c r="Q209" s="2"/>
      <c r="R209" s="1"/>
      <c r="S209" s="1"/>
      <c r="T209" s="1"/>
      <c r="U209" t="str">
        <f>TEXT(Merge2[[#This Row],[ActivityDate]],"dddd")</f>
        <v>Monday</v>
      </c>
    </row>
    <row r="210" spans="1:21" x14ac:dyDescent="0.35">
      <c r="A210" s="1">
        <v>8253242879</v>
      </c>
      <c r="B210" s="2">
        <v>42464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1440</v>
      </c>
      <c r="O210" s="1">
        <v>1429</v>
      </c>
      <c r="P210" s="1" t="s">
        <v>17</v>
      </c>
      <c r="Q210" s="2"/>
      <c r="R210" s="1"/>
      <c r="S210" s="1"/>
      <c r="T210" s="1"/>
      <c r="U210" t="str">
        <f>TEXT(Merge2[[#This Row],[ActivityDate]],"dddd")</f>
        <v>Monday</v>
      </c>
    </row>
    <row r="211" spans="1:21" x14ac:dyDescent="0.35">
      <c r="A211" s="1">
        <v>8378563200</v>
      </c>
      <c r="B211" s="2">
        <v>42464</v>
      </c>
      <c r="C211" s="1">
        <v>13935</v>
      </c>
      <c r="D211" s="1">
        <v>11.05000019</v>
      </c>
      <c r="E211" s="1">
        <v>11.05000019</v>
      </c>
      <c r="F211" s="1">
        <v>2.0921471120000001</v>
      </c>
      <c r="G211" s="1">
        <v>4.0900001530000001</v>
      </c>
      <c r="H211" s="1">
        <v>0.790000021</v>
      </c>
      <c r="I211" s="1">
        <v>6.170000076</v>
      </c>
      <c r="J211" s="1">
        <v>0</v>
      </c>
      <c r="K211" s="1">
        <v>105</v>
      </c>
      <c r="L211" s="1">
        <v>16</v>
      </c>
      <c r="M211" s="1">
        <v>220</v>
      </c>
      <c r="N211" s="1">
        <v>658</v>
      </c>
      <c r="O211" s="1">
        <v>4234</v>
      </c>
      <c r="P211" s="1" t="s">
        <v>16</v>
      </c>
      <c r="Q211" s="2"/>
      <c r="R211" s="1"/>
      <c r="S211" s="1"/>
      <c r="T211" s="1"/>
      <c r="U211" t="str">
        <f>TEXT(Merge2[[#This Row],[ActivityDate]],"dddd")</f>
        <v>Monday</v>
      </c>
    </row>
    <row r="212" spans="1:21" x14ac:dyDescent="0.35">
      <c r="A212" s="1">
        <v>8583815059</v>
      </c>
      <c r="B212" s="2">
        <v>42464</v>
      </c>
      <c r="C212" s="1">
        <v>3159</v>
      </c>
      <c r="D212" s="1">
        <v>2.460000038</v>
      </c>
      <c r="E212" s="1">
        <v>2.460000038</v>
      </c>
      <c r="F212" s="1">
        <v>0</v>
      </c>
      <c r="G212" s="1">
        <v>0</v>
      </c>
      <c r="H212" s="1">
        <v>0</v>
      </c>
      <c r="I212" s="1">
        <v>2.460000038</v>
      </c>
      <c r="J212" s="1">
        <v>0</v>
      </c>
      <c r="K212" s="1">
        <v>0</v>
      </c>
      <c r="L212" s="1">
        <v>0</v>
      </c>
      <c r="M212" s="1">
        <v>147</v>
      </c>
      <c r="N212" s="1">
        <v>1293</v>
      </c>
      <c r="O212" s="1">
        <v>2462</v>
      </c>
      <c r="P212" s="1" t="s">
        <v>17</v>
      </c>
      <c r="Q212" s="2"/>
      <c r="R212" s="1"/>
      <c r="S212" s="1"/>
      <c r="T212" s="1"/>
      <c r="U212" t="str">
        <f>TEXT(Merge2[[#This Row],[ActivityDate]],"dddd")</f>
        <v>Monday</v>
      </c>
    </row>
    <row r="213" spans="1:21" x14ac:dyDescent="0.35">
      <c r="A213" s="1">
        <v>8792009665</v>
      </c>
      <c r="B213" s="2">
        <v>42464</v>
      </c>
      <c r="C213" s="1">
        <v>3821</v>
      </c>
      <c r="D213" s="1">
        <v>2.4500000480000002</v>
      </c>
      <c r="E213" s="1">
        <v>2.4500000480000002</v>
      </c>
      <c r="F213" s="1">
        <v>0</v>
      </c>
      <c r="G213" s="1">
        <v>0</v>
      </c>
      <c r="H213" s="1">
        <v>0.219999999</v>
      </c>
      <c r="I213" s="1">
        <v>2.2300000190000002</v>
      </c>
      <c r="J213" s="1">
        <v>0</v>
      </c>
      <c r="K213" s="1">
        <v>0</v>
      </c>
      <c r="L213" s="1">
        <v>9</v>
      </c>
      <c r="M213" s="1">
        <v>161</v>
      </c>
      <c r="N213" s="1">
        <v>675</v>
      </c>
      <c r="O213" s="1">
        <v>2229</v>
      </c>
      <c r="P213" s="1" t="s">
        <v>17</v>
      </c>
      <c r="Q213" s="2"/>
      <c r="R213" s="1"/>
      <c r="S213" s="1"/>
      <c r="T213" s="1"/>
      <c r="U213" t="str">
        <f>TEXT(Merge2[[#This Row],[ActivityDate]],"dddd")</f>
        <v>Monday</v>
      </c>
    </row>
    <row r="214" spans="1:21" x14ac:dyDescent="0.35">
      <c r="A214" s="1">
        <v>8877689391</v>
      </c>
      <c r="B214" s="2">
        <v>42464</v>
      </c>
      <c r="C214" s="1">
        <v>20779</v>
      </c>
      <c r="D214" s="1">
        <v>18.409999849999998</v>
      </c>
      <c r="E214" s="1">
        <v>18.409999849999998</v>
      </c>
      <c r="F214" s="1">
        <v>0</v>
      </c>
      <c r="G214" s="1">
        <v>11.72999954</v>
      </c>
      <c r="H214" s="1">
        <v>0.64999997600000003</v>
      </c>
      <c r="I214" s="1">
        <v>6</v>
      </c>
      <c r="J214" s="1">
        <v>0</v>
      </c>
      <c r="K214" s="1">
        <v>78</v>
      </c>
      <c r="L214" s="1">
        <v>16</v>
      </c>
      <c r="M214" s="1">
        <v>208</v>
      </c>
      <c r="N214" s="1">
        <v>1138</v>
      </c>
      <c r="O214" s="1">
        <v>3662</v>
      </c>
      <c r="P214" s="1" t="s">
        <v>16</v>
      </c>
      <c r="Q214" s="2"/>
      <c r="R214" s="1"/>
      <c r="S214" s="1"/>
      <c r="T214" s="1"/>
      <c r="U214" t="str">
        <f>TEXT(Merge2[[#This Row],[ActivityDate]],"dddd")</f>
        <v>Monday</v>
      </c>
    </row>
    <row r="215" spans="1:21" x14ac:dyDescent="0.35">
      <c r="A215" s="1">
        <v>1503960366</v>
      </c>
      <c r="B215" s="2">
        <v>42465</v>
      </c>
      <c r="C215" s="1">
        <v>14844</v>
      </c>
      <c r="D215" s="1">
        <v>9.7299995419999998</v>
      </c>
      <c r="E215" s="1">
        <v>9.7299995419999998</v>
      </c>
      <c r="F215" s="1">
        <v>0</v>
      </c>
      <c r="G215" s="1">
        <v>2.9400000569999998</v>
      </c>
      <c r="H215" s="1">
        <v>0.75999998999999996</v>
      </c>
      <c r="I215" s="1">
        <v>6.0399999619999996</v>
      </c>
      <c r="J215" s="1">
        <v>0</v>
      </c>
      <c r="K215" s="1">
        <v>36</v>
      </c>
      <c r="L215" s="1">
        <v>18</v>
      </c>
      <c r="M215" s="1">
        <v>341</v>
      </c>
      <c r="N215" s="1">
        <v>736</v>
      </c>
      <c r="O215" s="1">
        <v>2083</v>
      </c>
      <c r="P215" s="1" t="s">
        <v>16</v>
      </c>
      <c r="Q215" s="2"/>
      <c r="R215" s="1"/>
      <c r="S215" s="1"/>
      <c r="T215" s="1"/>
      <c r="U215" t="str">
        <f>TEXT(Merge2[[#This Row],[ActivityDate]],"dddd")</f>
        <v>Tuesday</v>
      </c>
    </row>
    <row r="216" spans="1:21" x14ac:dyDescent="0.35">
      <c r="A216" s="1">
        <v>1624580081</v>
      </c>
      <c r="B216" s="2">
        <v>42465</v>
      </c>
      <c r="C216" s="1">
        <v>1335</v>
      </c>
      <c r="D216" s="1">
        <v>0.87000000499999997</v>
      </c>
      <c r="E216" s="1">
        <v>0.87000000499999997</v>
      </c>
      <c r="F216" s="1">
        <v>0</v>
      </c>
      <c r="G216" s="1">
        <v>0</v>
      </c>
      <c r="H216" s="1">
        <v>0</v>
      </c>
      <c r="I216" s="1">
        <v>0.87000000499999997</v>
      </c>
      <c r="J216" s="1">
        <v>0</v>
      </c>
      <c r="K216" s="1">
        <v>0</v>
      </c>
      <c r="L216" s="1">
        <v>0</v>
      </c>
      <c r="M216" s="1">
        <v>74</v>
      </c>
      <c r="N216" s="1">
        <v>1366</v>
      </c>
      <c r="O216" s="1">
        <v>1308</v>
      </c>
      <c r="P216" s="1" t="s">
        <v>17</v>
      </c>
      <c r="Q216" s="2"/>
      <c r="R216" s="1"/>
      <c r="S216" s="1"/>
      <c r="T216" s="1"/>
      <c r="U216" t="str">
        <f>TEXT(Merge2[[#This Row],[ActivityDate]],"dddd")</f>
        <v>Tuesday</v>
      </c>
    </row>
    <row r="217" spans="1:21" x14ac:dyDescent="0.35">
      <c r="A217" s="1">
        <v>1644430081</v>
      </c>
      <c r="B217" s="2">
        <v>42465</v>
      </c>
      <c r="C217" s="1">
        <v>9921</v>
      </c>
      <c r="D217" s="1">
        <v>7.2100000380000004</v>
      </c>
      <c r="E217" s="1">
        <v>7.2100000380000004</v>
      </c>
      <c r="F217" s="1">
        <v>0</v>
      </c>
      <c r="G217" s="1">
        <v>0.34000000400000002</v>
      </c>
      <c r="H217" s="1">
        <v>1.519999981</v>
      </c>
      <c r="I217" s="1">
        <v>5.3600001339999999</v>
      </c>
      <c r="J217" s="1">
        <v>0</v>
      </c>
      <c r="K217" s="1">
        <v>5</v>
      </c>
      <c r="L217" s="1">
        <v>35</v>
      </c>
      <c r="M217" s="1">
        <v>219</v>
      </c>
      <c r="N217" s="1">
        <v>1181</v>
      </c>
      <c r="O217" s="1">
        <v>3098</v>
      </c>
      <c r="P217" s="1" t="s">
        <v>18</v>
      </c>
      <c r="Q217" s="2"/>
      <c r="R217" s="1"/>
      <c r="S217" s="1"/>
      <c r="T217" s="1"/>
      <c r="U217" t="str">
        <f>TEXT(Merge2[[#This Row],[ActivityDate]],"dddd")</f>
        <v>Tuesday</v>
      </c>
    </row>
    <row r="218" spans="1:21" x14ac:dyDescent="0.35">
      <c r="A218" s="1">
        <v>1844505072</v>
      </c>
      <c r="B218" s="2">
        <v>42465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1440</v>
      </c>
      <c r="O218" s="1">
        <v>1347</v>
      </c>
      <c r="P218" s="1" t="s">
        <v>17</v>
      </c>
      <c r="Q218" s="2"/>
      <c r="R218" s="1"/>
      <c r="S218" s="1"/>
      <c r="T218" s="1"/>
      <c r="U218" t="str">
        <f>TEXT(Merge2[[#This Row],[ActivityDate]],"dddd")</f>
        <v>Tuesday</v>
      </c>
    </row>
    <row r="219" spans="1:21" x14ac:dyDescent="0.35">
      <c r="A219" s="1">
        <v>1927972279</v>
      </c>
      <c r="B219" s="2">
        <v>42465</v>
      </c>
      <c r="C219" s="1">
        <v>2234</v>
      </c>
      <c r="D219" s="1">
        <v>1.5499999520000001</v>
      </c>
      <c r="E219" s="1">
        <v>1.5499999520000001</v>
      </c>
      <c r="F219" s="1">
        <v>0</v>
      </c>
      <c r="G219" s="1">
        <v>0</v>
      </c>
      <c r="H219" s="1">
        <v>0</v>
      </c>
      <c r="I219" s="1">
        <v>1.5499999520000001</v>
      </c>
      <c r="J219" s="1">
        <v>0</v>
      </c>
      <c r="K219" s="1">
        <v>0</v>
      </c>
      <c r="L219" s="1">
        <v>0</v>
      </c>
      <c r="M219" s="1">
        <v>108</v>
      </c>
      <c r="N219" s="1">
        <v>912</v>
      </c>
      <c r="O219" s="1">
        <v>2344</v>
      </c>
      <c r="P219" s="1" t="s">
        <v>17</v>
      </c>
      <c r="Q219" s="2"/>
      <c r="R219" s="1"/>
      <c r="S219" s="1"/>
      <c r="T219" s="1"/>
      <c r="U219" t="str">
        <f>TEXT(Merge2[[#This Row],[ActivityDate]],"dddd")</f>
        <v>Tuesday</v>
      </c>
    </row>
    <row r="220" spans="1:21" x14ac:dyDescent="0.35">
      <c r="A220" s="1">
        <v>2022484408</v>
      </c>
      <c r="B220" s="2">
        <v>42465</v>
      </c>
      <c r="C220" s="1">
        <v>10805</v>
      </c>
      <c r="D220" s="1">
        <v>7.5900001530000001</v>
      </c>
      <c r="E220" s="1">
        <v>7.5900001530000001</v>
      </c>
      <c r="F220" s="1">
        <v>0</v>
      </c>
      <c r="G220" s="1">
        <v>0.72000002900000004</v>
      </c>
      <c r="H220" s="1">
        <v>0.980000019</v>
      </c>
      <c r="I220" s="1">
        <v>5.8899998660000001</v>
      </c>
      <c r="J220" s="1">
        <v>0</v>
      </c>
      <c r="K220" s="1">
        <v>36</v>
      </c>
      <c r="L220" s="1">
        <v>37</v>
      </c>
      <c r="M220" s="1">
        <v>298</v>
      </c>
      <c r="N220" s="1">
        <v>1069</v>
      </c>
      <c r="O220" s="1">
        <v>2735</v>
      </c>
      <c r="P220" s="1" t="s">
        <v>16</v>
      </c>
      <c r="Q220" s="2"/>
      <c r="R220" s="1"/>
      <c r="S220" s="1"/>
      <c r="T220" s="1"/>
      <c r="U220" t="str">
        <f>TEXT(Merge2[[#This Row],[ActivityDate]],"dddd")</f>
        <v>Tuesday</v>
      </c>
    </row>
    <row r="221" spans="1:21" x14ac:dyDescent="0.35">
      <c r="A221" s="1">
        <v>2026352035</v>
      </c>
      <c r="B221" s="2">
        <v>42465</v>
      </c>
      <c r="C221" s="1">
        <v>5645</v>
      </c>
      <c r="D221" s="1">
        <v>3.5</v>
      </c>
      <c r="E221" s="1">
        <v>3.5</v>
      </c>
      <c r="F221" s="1">
        <v>0</v>
      </c>
      <c r="G221" s="1">
        <v>0</v>
      </c>
      <c r="H221" s="1">
        <v>0</v>
      </c>
      <c r="I221" s="1">
        <v>3.5</v>
      </c>
      <c r="J221" s="1">
        <v>0</v>
      </c>
      <c r="K221" s="1">
        <v>0</v>
      </c>
      <c r="L221" s="1">
        <v>0</v>
      </c>
      <c r="M221" s="1">
        <v>248</v>
      </c>
      <c r="N221" s="1">
        <v>621</v>
      </c>
      <c r="O221" s="1">
        <v>1538</v>
      </c>
      <c r="P221" s="1" t="s">
        <v>19</v>
      </c>
      <c r="Q221" s="2"/>
      <c r="R221" s="1"/>
      <c r="S221" s="1"/>
      <c r="T221" s="1"/>
      <c r="U221" t="str">
        <f>TEXT(Merge2[[#This Row],[ActivityDate]],"dddd")</f>
        <v>Tuesday</v>
      </c>
    </row>
    <row r="222" spans="1:21" x14ac:dyDescent="0.35">
      <c r="A222" s="1">
        <v>2320127002</v>
      </c>
      <c r="B222" s="2">
        <v>42465</v>
      </c>
      <c r="C222" s="1">
        <v>4931</v>
      </c>
      <c r="D222" s="1">
        <v>3.3199999330000001</v>
      </c>
      <c r="E222" s="1">
        <v>3.3199999330000001</v>
      </c>
      <c r="F222" s="1">
        <v>0</v>
      </c>
      <c r="G222" s="1">
        <v>0</v>
      </c>
      <c r="H222" s="1">
        <v>0</v>
      </c>
      <c r="I222" s="1">
        <v>3.3199999330000001</v>
      </c>
      <c r="J222" s="1">
        <v>0</v>
      </c>
      <c r="K222" s="1">
        <v>0</v>
      </c>
      <c r="L222" s="1">
        <v>0</v>
      </c>
      <c r="M222" s="1">
        <v>175</v>
      </c>
      <c r="N222" s="1">
        <v>1265</v>
      </c>
      <c r="O222" s="1">
        <v>1708</v>
      </c>
      <c r="P222" s="1" t="s">
        <v>17</v>
      </c>
      <c r="Q222" s="2"/>
      <c r="R222" s="1"/>
      <c r="S222" s="1"/>
      <c r="T222" s="1"/>
      <c r="U222" t="str">
        <f>TEXT(Merge2[[#This Row],[ActivityDate]],"dddd")</f>
        <v>Tuesday</v>
      </c>
    </row>
    <row r="223" spans="1:21" x14ac:dyDescent="0.35">
      <c r="A223" s="1">
        <v>2347167796</v>
      </c>
      <c r="B223" s="2">
        <v>42465</v>
      </c>
      <c r="C223" s="1">
        <v>10114</v>
      </c>
      <c r="D223" s="1">
        <v>6.8200001720000003</v>
      </c>
      <c r="E223" s="1">
        <v>6.8200001720000003</v>
      </c>
      <c r="F223" s="1">
        <v>0</v>
      </c>
      <c r="G223" s="1">
        <v>1.6399999860000001</v>
      </c>
      <c r="H223" s="1">
        <v>0.47999998900000002</v>
      </c>
      <c r="I223" s="1">
        <v>4.6799998279999997</v>
      </c>
      <c r="J223" s="1">
        <v>0</v>
      </c>
      <c r="K223" s="1">
        <v>18</v>
      </c>
      <c r="L223" s="1">
        <v>9</v>
      </c>
      <c r="M223" s="1">
        <v>269</v>
      </c>
      <c r="N223" s="1">
        <v>696</v>
      </c>
      <c r="O223" s="1">
        <v>2096</v>
      </c>
      <c r="P223" s="1" t="s">
        <v>16</v>
      </c>
      <c r="Q223" s="2"/>
      <c r="R223" s="1"/>
      <c r="S223" s="1"/>
      <c r="T223" s="1"/>
      <c r="U223" t="str">
        <f>TEXT(Merge2[[#This Row],[ActivityDate]],"dddd")</f>
        <v>Tuesday</v>
      </c>
    </row>
    <row r="224" spans="1:21" x14ac:dyDescent="0.35">
      <c r="A224" s="1">
        <v>2873212765</v>
      </c>
      <c r="B224" s="2">
        <v>42465</v>
      </c>
      <c r="C224" s="1">
        <v>8432</v>
      </c>
      <c r="D224" s="1">
        <v>5.670000076</v>
      </c>
      <c r="E224" s="1">
        <v>5.670000076</v>
      </c>
      <c r="F224" s="1">
        <v>0</v>
      </c>
      <c r="G224" s="1">
        <v>0</v>
      </c>
      <c r="H224" s="1">
        <v>0</v>
      </c>
      <c r="I224" s="1">
        <v>5.6500000950000002</v>
      </c>
      <c r="J224" s="1">
        <v>0.01</v>
      </c>
      <c r="K224" s="1">
        <v>0</v>
      </c>
      <c r="L224" s="1">
        <v>0</v>
      </c>
      <c r="M224" s="1">
        <v>374</v>
      </c>
      <c r="N224" s="1">
        <v>1066</v>
      </c>
      <c r="O224" s="1">
        <v>1953</v>
      </c>
      <c r="P224" s="1" t="s">
        <v>18</v>
      </c>
      <c r="Q224" s="2"/>
      <c r="R224" s="1"/>
      <c r="S224" s="1"/>
      <c r="T224" s="1"/>
      <c r="U224" t="str">
        <f>TEXT(Merge2[[#This Row],[ActivityDate]],"dddd")</f>
        <v>Tuesday</v>
      </c>
    </row>
    <row r="225" spans="1:21" x14ac:dyDescent="0.35">
      <c r="A225" s="1">
        <v>2891001357</v>
      </c>
      <c r="B225" s="2">
        <v>42465</v>
      </c>
      <c r="C225" s="1">
        <v>2063</v>
      </c>
      <c r="D225" s="1">
        <v>1.6100000139999999</v>
      </c>
      <c r="E225" s="1">
        <v>0</v>
      </c>
      <c r="F225" s="1">
        <v>1.6093440059999999</v>
      </c>
      <c r="G225" s="1">
        <v>0</v>
      </c>
      <c r="H225" s="1">
        <v>0</v>
      </c>
      <c r="I225" s="1">
        <v>1.6100000139999999</v>
      </c>
      <c r="J225" s="1">
        <v>0</v>
      </c>
      <c r="K225" s="1">
        <v>0</v>
      </c>
      <c r="L225" s="1">
        <v>0</v>
      </c>
      <c r="M225" s="1">
        <v>630</v>
      </c>
      <c r="N225" s="1">
        <v>99</v>
      </c>
      <c r="O225" s="1">
        <v>1144</v>
      </c>
      <c r="P225" s="1" t="s">
        <v>17</v>
      </c>
      <c r="Q225" s="2"/>
      <c r="R225" s="1"/>
      <c r="S225" s="1"/>
      <c r="T225" s="1"/>
      <c r="U225" t="str">
        <f>TEXT(Merge2[[#This Row],[ActivityDate]],"dddd")</f>
        <v>Tuesday</v>
      </c>
    </row>
    <row r="226" spans="1:21" x14ac:dyDescent="0.35">
      <c r="A226" s="1">
        <v>3372868164</v>
      </c>
      <c r="B226" s="2">
        <v>42465</v>
      </c>
      <c r="C226" s="1">
        <v>4460</v>
      </c>
      <c r="D226" s="1">
        <v>3.039999962</v>
      </c>
      <c r="E226" s="1">
        <v>3.039999962</v>
      </c>
      <c r="F226" s="1">
        <v>0</v>
      </c>
      <c r="G226" s="1">
        <v>0</v>
      </c>
      <c r="H226" s="1">
        <v>0</v>
      </c>
      <c r="I226" s="1">
        <v>3.0199999809999998</v>
      </c>
      <c r="J226" s="1">
        <v>2.9999998999999999E-2</v>
      </c>
      <c r="K226" s="1">
        <v>0</v>
      </c>
      <c r="L226" s="1">
        <v>0</v>
      </c>
      <c r="M226" s="1">
        <v>248</v>
      </c>
      <c r="N226" s="1">
        <v>1192</v>
      </c>
      <c r="O226" s="1">
        <v>1787</v>
      </c>
      <c r="P226" s="1" t="s">
        <v>17</v>
      </c>
      <c r="Q226" s="2"/>
      <c r="R226" s="1"/>
      <c r="S226" s="1"/>
      <c r="T226" s="1"/>
      <c r="U226" t="str">
        <f>TEXT(Merge2[[#This Row],[ActivityDate]],"dddd")</f>
        <v>Tuesday</v>
      </c>
    </row>
    <row r="227" spans="1:21" x14ac:dyDescent="0.35">
      <c r="A227" s="1">
        <v>3977333714</v>
      </c>
      <c r="B227" s="2">
        <v>42465</v>
      </c>
      <c r="C227" s="1">
        <v>12303</v>
      </c>
      <c r="D227" s="1">
        <v>8.2299995419999998</v>
      </c>
      <c r="E227" s="1">
        <v>8.2299995419999998</v>
      </c>
      <c r="F227" s="1">
        <v>0</v>
      </c>
      <c r="G227" s="1">
        <v>1.710000038</v>
      </c>
      <c r="H227" s="1">
        <v>1.3500000240000001</v>
      </c>
      <c r="I227" s="1">
        <v>5.170000076</v>
      </c>
      <c r="J227" s="1">
        <v>0</v>
      </c>
      <c r="K227" s="1">
        <v>26</v>
      </c>
      <c r="L227" s="1">
        <v>32</v>
      </c>
      <c r="M227" s="1">
        <v>291</v>
      </c>
      <c r="N227" s="1">
        <v>605</v>
      </c>
      <c r="O227" s="1">
        <v>1649</v>
      </c>
      <c r="P227" s="1" t="s">
        <v>16</v>
      </c>
      <c r="Q227" s="2"/>
      <c r="R227" s="1"/>
      <c r="S227" s="1"/>
      <c r="T227" s="1"/>
      <c r="U227" t="str">
        <f>TEXT(Merge2[[#This Row],[ActivityDate]],"dddd")</f>
        <v>Tuesday</v>
      </c>
    </row>
    <row r="228" spans="1:21" x14ac:dyDescent="0.35">
      <c r="A228" s="1">
        <v>4020332650</v>
      </c>
      <c r="B228" s="2">
        <v>42465</v>
      </c>
      <c r="C228" s="1">
        <v>6880</v>
      </c>
      <c r="D228" s="1">
        <v>4.9299998279999997</v>
      </c>
      <c r="E228" s="1">
        <v>4.9299998279999997</v>
      </c>
      <c r="F228" s="1">
        <v>0</v>
      </c>
      <c r="G228" s="1">
        <v>0.5</v>
      </c>
      <c r="H228" s="1">
        <v>0.75999998999999996</v>
      </c>
      <c r="I228" s="1">
        <v>3.6500000950000002</v>
      </c>
      <c r="J228" s="1">
        <v>0</v>
      </c>
      <c r="K228" s="1">
        <v>7</v>
      </c>
      <c r="L228" s="1">
        <v>19</v>
      </c>
      <c r="M228" s="1">
        <v>165</v>
      </c>
      <c r="N228" s="1">
        <v>1249</v>
      </c>
      <c r="O228" s="1">
        <v>2966</v>
      </c>
      <c r="P228" s="1" t="s">
        <v>19</v>
      </c>
      <c r="Q228" s="2"/>
      <c r="R228" s="1"/>
      <c r="S228" s="1"/>
      <c r="T228" s="1"/>
      <c r="U228" t="str">
        <f>TEXT(Merge2[[#This Row],[ActivityDate]],"dddd")</f>
        <v>Tuesday</v>
      </c>
    </row>
    <row r="229" spans="1:21" x14ac:dyDescent="0.35">
      <c r="A229" s="1">
        <v>4057192912</v>
      </c>
      <c r="B229" s="2">
        <v>42465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1440</v>
      </c>
      <c r="O229" s="1">
        <v>1776</v>
      </c>
      <c r="P229" s="1" t="s">
        <v>17</v>
      </c>
      <c r="Q229" s="2"/>
      <c r="R229" s="1"/>
      <c r="S229" s="1"/>
      <c r="T229" s="1"/>
      <c r="U229" t="str">
        <f>TEXT(Merge2[[#This Row],[ActivityDate]],"dddd")</f>
        <v>Tuesday</v>
      </c>
    </row>
    <row r="230" spans="1:21" x14ac:dyDescent="0.35">
      <c r="A230" s="1">
        <v>4319703577</v>
      </c>
      <c r="B230" s="2">
        <v>42465</v>
      </c>
      <c r="C230" s="1">
        <v>8359</v>
      </c>
      <c r="D230" s="1">
        <v>5.6300001139999996</v>
      </c>
      <c r="E230" s="1">
        <v>5.6300001139999996</v>
      </c>
      <c r="F230" s="1">
        <v>0</v>
      </c>
      <c r="G230" s="1">
        <v>0.23000000400000001</v>
      </c>
      <c r="H230" s="1">
        <v>0.52999997099999996</v>
      </c>
      <c r="I230" s="1">
        <v>4.8699998860000004</v>
      </c>
      <c r="J230" s="1">
        <v>0</v>
      </c>
      <c r="K230" s="1">
        <v>3</v>
      </c>
      <c r="L230" s="1">
        <v>14</v>
      </c>
      <c r="M230" s="1">
        <v>311</v>
      </c>
      <c r="N230" s="1">
        <v>638</v>
      </c>
      <c r="O230" s="1">
        <v>2201</v>
      </c>
      <c r="P230" s="1" t="s">
        <v>18</v>
      </c>
      <c r="Q230" s="2"/>
      <c r="R230" s="1"/>
      <c r="S230" s="1"/>
      <c r="T230" s="1"/>
      <c r="U230" t="str">
        <f>TEXT(Merge2[[#This Row],[ActivityDate]],"dddd")</f>
        <v>Tuesday</v>
      </c>
    </row>
    <row r="231" spans="1:21" x14ac:dyDescent="0.35">
      <c r="A231" s="1">
        <v>4388161847</v>
      </c>
      <c r="B231" s="2">
        <v>42465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994</v>
      </c>
      <c r="O231" s="1">
        <v>1296</v>
      </c>
      <c r="P231" s="1" t="s">
        <v>17</v>
      </c>
      <c r="Q231" s="2"/>
      <c r="R231" s="1"/>
      <c r="S231" s="1"/>
      <c r="T231" s="1"/>
      <c r="U231" t="str">
        <f>TEXT(Merge2[[#This Row],[ActivityDate]],"dddd")</f>
        <v>Tuesday</v>
      </c>
    </row>
    <row r="232" spans="1:21" x14ac:dyDescent="0.35">
      <c r="A232" s="1">
        <v>4445114986</v>
      </c>
      <c r="B232" s="2">
        <v>42465</v>
      </c>
      <c r="C232" s="1">
        <v>4239</v>
      </c>
      <c r="D232" s="1">
        <v>2.8399999139999998</v>
      </c>
      <c r="E232" s="1">
        <v>2.8399999139999998</v>
      </c>
      <c r="F232" s="1">
        <v>0</v>
      </c>
      <c r="G232" s="1">
        <v>5.9999998999999998E-2</v>
      </c>
      <c r="H232" s="1">
        <v>0.23999999499999999</v>
      </c>
      <c r="I232" s="1">
        <v>2.5299999710000001</v>
      </c>
      <c r="J232" s="1">
        <v>0</v>
      </c>
      <c r="K232" s="1">
        <v>1</v>
      </c>
      <c r="L232" s="1">
        <v>6</v>
      </c>
      <c r="M232" s="1">
        <v>235</v>
      </c>
      <c r="N232" s="1">
        <v>702</v>
      </c>
      <c r="O232" s="1">
        <v>2217</v>
      </c>
      <c r="P232" s="1" t="s">
        <v>17</v>
      </c>
      <c r="Q232" s="2"/>
      <c r="R232" s="1"/>
      <c r="S232" s="1"/>
      <c r="T232" s="1"/>
      <c r="U232" t="str">
        <f>TEXT(Merge2[[#This Row],[ActivityDate]],"dddd")</f>
        <v>Tuesday</v>
      </c>
    </row>
    <row r="233" spans="1:21" x14ac:dyDescent="0.35">
      <c r="A233" s="1">
        <v>4558609924</v>
      </c>
      <c r="B233" s="2">
        <v>42465</v>
      </c>
      <c r="C233" s="1">
        <v>6799</v>
      </c>
      <c r="D233" s="1">
        <v>4.4899997709999999</v>
      </c>
      <c r="E233" s="1">
        <v>4.4899997709999999</v>
      </c>
      <c r="F233" s="1">
        <v>0</v>
      </c>
      <c r="G233" s="1">
        <v>1.5900000329999999</v>
      </c>
      <c r="H233" s="1">
        <v>0.86000001400000003</v>
      </c>
      <c r="I233" s="1">
        <v>2.039999962</v>
      </c>
      <c r="J233" s="1">
        <v>0</v>
      </c>
      <c r="K233" s="1">
        <v>24</v>
      </c>
      <c r="L233" s="1">
        <v>14</v>
      </c>
      <c r="M233" s="1">
        <v>185</v>
      </c>
      <c r="N233" s="1">
        <v>1217</v>
      </c>
      <c r="O233" s="1">
        <v>1876</v>
      </c>
      <c r="P233" s="1" t="s">
        <v>19</v>
      </c>
      <c r="Q233" s="2"/>
      <c r="R233" s="1"/>
      <c r="S233" s="1"/>
      <c r="T233" s="1"/>
      <c r="U233" t="str">
        <f>TEXT(Merge2[[#This Row],[ActivityDate]],"dddd")</f>
        <v>Tuesday</v>
      </c>
    </row>
    <row r="234" spans="1:21" x14ac:dyDescent="0.35">
      <c r="A234" s="1">
        <v>4702921684</v>
      </c>
      <c r="B234" s="2">
        <v>42465</v>
      </c>
      <c r="C234" s="1">
        <v>6670</v>
      </c>
      <c r="D234" s="1">
        <v>5.4099998469999999</v>
      </c>
      <c r="E234" s="1">
        <v>5.4099998469999999</v>
      </c>
      <c r="F234" s="1">
        <v>0</v>
      </c>
      <c r="G234" s="1">
        <v>1.2400000099999999</v>
      </c>
      <c r="H234" s="1">
        <v>0.80000001200000004</v>
      </c>
      <c r="I234" s="1">
        <v>3.369999886</v>
      </c>
      <c r="J234" s="1">
        <v>0</v>
      </c>
      <c r="K234" s="1">
        <v>15</v>
      </c>
      <c r="L234" s="1">
        <v>16</v>
      </c>
      <c r="M234" s="1">
        <v>199</v>
      </c>
      <c r="N234" s="1">
        <v>770</v>
      </c>
      <c r="O234" s="1">
        <v>2848</v>
      </c>
      <c r="P234" s="1" t="s">
        <v>19</v>
      </c>
      <c r="Q234" s="2"/>
      <c r="R234" s="1"/>
      <c r="S234" s="1"/>
      <c r="T234" s="1"/>
      <c r="U234" t="str">
        <f>TEXT(Merge2[[#This Row],[ActivityDate]],"dddd")</f>
        <v>Tuesday</v>
      </c>
    </row>
    <row r="235" spans="1:21" x14ac:dyDescent="0.35">
      <c r="A235" s="1">
        <v>5553957443</v>
      </c>
      <c r="B235" s="2">
        <v>42465</v>
      </c>
      <c r="C235" s="1">
        <v>11306</v>
      </c>
      <c r="D235" s="1">
        <v>7.3800001139999996</v>
      </c>
      <c r="E235" s="1">
        <v>7.3800001139999996</v>
      </c>
      <c r="F235" s="1">
        <v>0</v>
      </c>
      <c r="G235" s="1">
        <v>2.3099999430000002</v>
      </c>
      <c r="H235" s="1">
        <v>0.980000019</v>
      </c>
      <c r="I235" s="1">
        <v>4.0900001530000001</v>
      </c>
      <c r="J235" s="1">
        <v>0</v>
      </c>
      <c r="K235" s="1">
        <v>40</v>
      </c>
      <c r="L235" s="1">
        <v>26</v>
      </c>
      <c r="M235" s="1">
        <v>218</v>
      </c>
      <c r="N235" s="1">
        <v>772</v>
      </c>
      <c r="O235" s="1">
        <v>2086</v>
      </c>
      <c r="P235" s="1" t="s">
        <v>16</v>
      </c>
      <c r="Q235" s="2"/>
      <c r="R235" s="1"/>
      <c r="S235" s="1"/>
      <c r="T235" s="1"/>
      <c r="U235" t="str">
        <f>TEXT(Merge2[[#This Row],[ActivityDate]],"dddd")</f>
        <v>Tuesday</v>
      </c>
    </row>
    <row r="236" spans="1:21" x14ac:dyDescent="0.35">
      <c r="A236" s="1">
        <v>5577150313</v>
      </c>
      <c r="B236" s="2">
        <v>42465</v>
      </c>
      <c r="C236" s="1">
        <v>8964</v>
      </c>
      <c r="D236" s="1">
        <v>6.6999998090000004</v>
      </c>
      <c r="E236" s="1">
        <v>6.6999998090000004</v>
      </c>
      <c r="F236" s="1">
        <v>0</v>
      </c>
      <c r="G236" s="1">
        <v>3.9700000289999999</v>
      </c>
      <c r="H236" s="1">
        <v>0.189999998</v>
      </c>
      <c r="I236" s="1">
        <v>2.5299999710000001</v>
      </c>
      <c r="J236" s="1">
        <v>0</v>
      </c>
      <c r="K236" s="1">
        <v>107</v>
      </c>
      <c r="L236" s="1">
        <v>18</v>
      </c>
      <c r="M236" s="1">
        <v>145</v>
      </c>
      <c r="N236" s="1">
        <v>756</v>
      </c>
      <c r="O236" s="1">
        <v>3597</v>
      </c>
      <c r="P236" s="1" t="s">
        <v>18</v>
      </c>
      <c r="Q236" s="2"/>
      <c r="R236" s="1"/>
      <c r="S236" s="1"/>
      <c r="T236" s="1"/>
      <c r="U236" t="str">
        <f>TEXT(Merge2[[#This Row],[ActivityDate]],"dddd")</f>
        <v>Tuesday</v>
      </c>
    </row>
    <row r="237" spans="1:21" x14ac:dyDescent="0.35">
      <c r="A237" s="1">
        <v>6117666160</v>
      </c>
      <c r="B237" s="2">
        <v>42465</v>
      </c>
      <c r="C237" s="1">
        <v>9910</v>
      </c>
      <c r="D237" s="1">
        <v>7.4800000190000002</v>
      </c>
      <c r="E237" s="1">
        <v>7.4800000190000002</v>
      </c>
      <c r="F237" s="1">
        <v>0</v>
      </c>
      <c r="G237" s="1">
        <v>0</v>
      </c>
      <c r="H237" s="1">
        <v>0</v>
      </c>
      <c r="I237" s="1">
        <v>7.4800000190000002</v>
      </c>
      <c r="J237" s="1">
        <v>0</v>
      </c>
      <c r="K237" s="1">
        <v>0</v>
      </c>
      <c r="L237" s="1">
        <v>0</v>
      </c>
      <c r="M237" s="1">
        <v>384</v>
      </c>
      <c r="N237" s="1">
        <v>990</v>
      </c>
      <c r="O237" s="1">
        <v>2445</v>
      </c>
      <c r="P237" s="1" t="s">
        <v>18</v>
      </c>
      <c r="Q237" s="2"/>
      <c r="R237" s="1"/>
      <c r="S237" s="1"/>
      <c r="T237" s="1"/>
      <c r="U237" t="str">
        <f>TEXT(Merge2[[#This Row],[ActivityDate]],"dddd")</f>
        <v>Tuesday</v>
      </c>
    </row>
    <row r="238" spans="1:21" x14ac:dyDescent="0.35">
      <c r="A238" s="1">
        <v>6290855005</v>
      </c>
      <c r="B238" s="2">
        <v>42465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1440</v>
      </c>
      <c r="O238" s="1">
        <v>2060</v>
      </c>
      <c r="P238" s="1" t="s">
        <v>17</v>
      </c>
      <c r="Q238" s="2"/>
      <c r="R238" s="1"/>
      <c r="S238" s="1"/>
      <c r="T238" s="1"/>
      <c r="U238" t="str">
        <f>TEXT(Merge2[[#This Row],[ActivityDate]],"dddd")</f>
        <v>Tuesday</v>
      </c>
    </row>
    <row r="239" spans="1:21" x14ac:dyDescent="0.35">
      <c r="A239" s="1">
        <v>6391747486</v>
      </c>
      <c r="B239" s="2">
        <v>42465</v>
      </c>
      <c r="C239" s="1">
        <v>9766</v>
      </c>
      <c r="D239" s="1">
        <v>7.5100002290000001</v>
      </c>
      <c r="E239" s="1">
        <v>0.77999997099999996</v>
      </c>
      <c r="F239" s="1">
        <v>6.7270569800000004</v>
      </c>
      <c r="G239" s="1">
        <v>0</v>
      </c>
      <c r="H239" s="1">
        <v>5.0000001000000002E-2</v>
      </c>
      <c r="I239" s="1">
        <v>7.4600000380000004</v>
      </c>
      <c r="J239" s="1">
        <v>0</v>
      </c>
      <c r="K239" s="1">
        <v>0</v>
      </c>
      <c r="L239" s="1">
        <v>6</v>
      </c>
      <c r="M239" s="1">
        <v>301</v>
      </c>
      <c r="N239" s="1">
        <v>1133</v>
      </c>
      <c r="O239" s="1">
        <v>2442</v>
      </c>
      <c r="P239" s="1" t="s">
        <v>18</v>
      </c>
      <c r="Q239" s="2"/>
      <c r="R239" s="1"/>
      <c r="S239" s="1"/>
      <c r="T239" s="1"/>
      <c r="U239" t="str">
        <f>TEXT(Merge2[[#This Row],[ActivityDate]],"dddd")</f>
        <v>Tuesday</v>
      </c>
    </row>
    <row r="240" spans="1:21" x14ac:dyDescent="0.35">
      <c r="A240" s="1">
        <v>6775888955</v>
      </c>
      <c r="B240" s="2">
        <v>42465</v>
      </c>
      <c r="C240" s="1">
        <v>9348</v>
      </c>
      <c r="D240" s="1">
        <v>6.6999998090000004</v>
      </c>
      <c r="E240" s="1">
        <v>6.6999998090000004</v>
      </c>
      <c r="F240" s="1">
        <v>0</v>
      </c>
      <c r="G240" s="1">
        <v>1.1299999949999999</v>
      </c>
      <c r="H240" s="1">
        <v>2.039999962</v>
      </c>
      <c r="I240" s="1">
        <v>3.1400001049999999</v>
      </c>
      <c r="J240" s="1">
        <v>0</v>
      </c>
      <c r="K240" s="1">
        <v>56</v>
      </c>
      <c r="L240" s="1">
        <v>133</v>
      </c>
      <c r="M240" s="1">
        <v>240</v>
      </c>
      <c r="N240" s="1">
        <v>1011</v>
      </c>
      <c r="O240" s="1">
        <v>4286</v>
      </c>
      <c r="P240" s="1" t="s">
        <v>18</v>
      </c>
      <c r="Q240" s="2"/>
      <c r="R240" s="1"/>
      <c r="S240" s="1"/>
      <c r="T240" s="1"/>
      <c r="U240" t="str">
        <f>TEXT(Merge2[[#This Row],[ActivityDate]],"dddd")</f>
        <v>Tuesday</v>
      </c>
    </row>
    <row r="241" spans="1:21" x14ac:dyDescent="0.35">
      <c r="A241" s="1">
        <v>6962181067</v>
      </c>
      <c r="B241" s="2">
        <v>42465</v>
      </c>
      <c r="C241" s="1">
        <v>12010</v>
      </c>
      <c r="D241" s="1">
        <v>7.9400000569999998</v>
      </c>
      <c r="E241" s="1">
        <v>7.9400000569999998</v>
      </c>
      <c r="F241" s="1">
        <v>0</v>
      </c>
      <c r="G241" s="1">
        <v>2.380000114</v>
      </c>
      <c r="H241" s="1">
        <v>0.94999998799999996</v>
      </c>
      <c r="I241" s="1">
        <v>4.6100001339999999</v>
      </c>
      <c r="J241" s="1">
        <v>0</v>
      </c>
      <c r="K241" s="1">
        <v>38</v>
      </c>
      <c r="L241" s="1">
        <v>17</v>
      </c>
      <c r="M241" s="1">
        <v>287</v>
      </c>
      <c r="N241" s="1">
        <v>692</v>
      </c>
      <c r="O241" s="1">
        <v>2158</v>
      </c>
      <c r="P241" s="1" t="s">
        <v>16</v>
      </c>
      <c r="Q241" s="2"/>
      <c r="R241" s="1"/>
      <c r="S241" s="1"/>
      <c r="T241" s="1"/>
      <c r="U241" t="str">
        <f>TEXT(Merge2[[#This Row],[ActivityDate]],"dddd")</f>
        <v>Tuesday</v>
      </c>
    </row>
    <row r="242" spans="1:21" x14ac:dyDescent="0.35">
      <c r="A242" s="1">
        <v>7007744171</v>
      </c>
      <c r="B242" s="2">
        <v>42465</v>
      </c>
      <c r="C242" s="1">
        <v>12084</v>
      </c>
      <c r="D242" s="1">
        <v>9.1400003430000005</v>
      </c>
      <c r="E242" s="1">
        <v>8.0799999239999991</v>
      </c>
      <c r="F242" s="1">
        <v>4.8363800049999996</v>
      </c>
      <c r="G242" s="1">
        <v>4.3899998660000001</v>
      </c>
      <c r="H242" s="1">
        <v>0.46000000800000002</v>
      </c>
      <c r="I242" s="1">
        <v>4.2899999619999996</v>
      </c>
      <c r="J242" s="1">
        <v>0</v>
      </c>
      <c r="K242" s="1">
        <v>50</v>
      </c>
      <c r="L242" s="1">
        <v>6</v>
      </c>
      <c r="M242" s="1">
        <v>284</v>
      </c>
      <c r="N242" s="1">
        <v>1030</v>
      </c>
      <c r="O242" s="1">
        <v>2676</v>
      </c>
      <c r="P242" s="1" t="s">
        <v>16</v>
      </c>
      <c r="Q242" s="2"/>
      <c r="R242" s="1"/>
      <c r="S242" s="1"/>
      <c r="T242" s="1"/>
      <c r="U242" t="str">
        <f>TEXT(Merge2[[#This Row],[ActivityDate]],"dddd")</f>
        <v>Tuesday</v>
      </c>
    </row>
    <row r="243" spans="1:21" x14ac:dyDescent="0.35">
      <c r="A243" s="1">
        <v>7086361926</v>
      </c>
      <c r="B243" s="2">
        <v>42465</v>
      </c>
      <c r="C243" s="1">
        <v>7478</v>
      </c>
      <c r="D243" s="1">
        <v>4.9899997709999999</v>
      </c>
      <c r="E243" s="1">
        <v>4.9899997709999999</v>
      </c>
      <c r="F243" s="1">
        <v>0</v>
      </c>
      <c r="G243" s="1">
        <v>1.7999999520000001</v>
      </c>
      <c r="H243" s="1">
        <v>0.52999997099999996</v>
      </c>
      <c r="I243" s="1">
        <v>2.6099998950000001</v>
      </c>
      <c r="J243" s="1">
        <v>2.9999998999999999E-2</v>
      </c>
      <c r="K243" s="1">
        <v>25</v>
      </c>
      <c r="L243" s="1">
        <v>33</v>
      </c>
      <c r="M243" s="1">
        <v>132</v>
      </c>
      <c r="N243" s="1">
        <v>1159</v>
      </c>
      <c r="O243" s="1">
        <v>2439</v>
      </c>
      <c r="P243" s="1" t="s">
        <v>19</v>
      </c>
      <c r="Q243" s="2"/>
      <c r="R243" s="1"/>
      <c r="S243" s="1"/>
      <c r="T243" s="1"/>
      <c r="U243" t="str">
        <f>TEXT(Merge2[[#This Row],[ActivityDate]],"dddd")</f>
        <v>Tuesday</v>
      </c>
    </row>
    <row r="244" spans="1:21" x14ac:dyDescent="0.35">
      <c r="A244" s="1">
        <v>8053475328</v>
      </c>
      <c r="B244" s="2">
        <v>42465</v>
      </c>
      <c r="C244" s="1">
        <v>17167</v>
      </c>
      <c r="D244" s="1">
        <v>13.40999985</v>
      </c>
      <c r="E244" s="1">
        <v>13.40999985</v>
      </c>
      <c r="F244" s="1">
        <v>0</v>
      </c>
      <c r="G244" s="1">
        <v>9.9600000380000004</v>
      </c>
      <c r="H244" s="1">
        <v>0.310000002</v>
      </c>
      <c r="I244" s="1">
        <v>3.1400001049999999</v>
      </c>
      <c r="J244" s="1">
        <v>0</v>
      </c>
      <c r="K244" s="1">
        <v>98</v>
      </c>
      <c r="L244" s="1">
        <v>8</v>
      </c>
      <c r="M244" s="1">
        <v>184</v>
      </c>
      <c r="N244" s="1">
        <v>1150</v>
      </c>
      <c r="O244" s="1">
        <v>3167</v>
      </c>
      <c r="P244" s="1" t="s">
        <v>16</v>
      </c>
      <c r="Q244" s="2"/>
      <c r="R244" s="1"/>
      <c r="S244" s="1"/>
      <c r="T244" s="1"/>
      <c r="U244" t="str">
        <f>TEXT(Merge2[[#This Row],[ActivityDate]],"dddd")</f>
        <v>Tuesday</v>
      </c>
    </row>
    <row r="245" spans="1:21" x14ac:dyDescent="0.35">
      <c r="A245" s="1">
        <v>8253242879</v>
      </c>
      <c r="B245" s="2">
        <v>42465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1440</v>
      </c>
      <c r="O245" s="1">
        <v>1429</v>
      </c>
      <c r="P245" s="1" t="s">
        <v>17</v>
      </c>
      <c r="Q245" s="2"/>
      <c r="R245" s="1"/>
      <c r="S245" s="1"/>
      <c r="T245" s="1"/>
      <c r="U245" t="str">
        <f>TEXT(Merge2[[#This Row],[ActivityDate]],"dddd")</f>
        <v>Tuesday</v>
      </c>
    </row>
    <row r="246" spans="1:21" x14ac:dyDescent="0.35">
      <c r="A246" s="1">
        <v>8378563200</v>
      </c>
      <c r="B246" s="2">
        <v>42465</v>
      </c>
      <c r="C246" s="1">
        <v>12846</v>
      </c>
      <c r="D246" s="1">
        <v>10.18999958</v>
      </c>
      <c r="E246" s="1">
        <v>10.18999958</v>
      </c>
      <c r="F246" s="1">
        <v>2.2530810830000001</v>
      </c>
      <c r="G246" s="1">
        <v>5</v>
      </c>
      <c r="H246" s="1">
        <v>0.75</v>
      </c>
      <c r="I246" s="1">
        <v>4.4400000569999998</v>
      </c>
      <c r="J246" s="1">
        <v>0</v>
      </c>
      <c r="K246" s="1">
        <v>113</v>
      </c>
      <c r="L246" s="1">
        <v>15</v>
      </c>
      <c r="M246" s="1">
        <v>189</v>
      </c>
      <c r="N246" s="1">
        <v>686</v>
      </c>
      <c r="O246" s="1">
        <v>4128</v>
      </c>
      <c r="P246" s="1" t="s">
        <v>16</v>
      </c>
      <c r="Q246" s="2"/>
      <c r="R246" s="1"/>
      <c r="S246" s="1"/>
      <c r="T246" s="1"/>
      <c r="U246" t="str">
        <f>TEXT(Merge2[[#This Row],[ActivityDate]],"dddd")</f>
        <v>Tuesday</v>
      </c>
    </row>
    <row r="247" spans="1:21" x14ac:dyDescent="0.35">
      <c r="A247" s="1">
        <v>8583815059</v>
      </c>
      <c r="B247" s="2">
        <v>42465</v>
      </c>
      <c r="C247" s="1">
        <v>6835</v>
      </c>
      <c r="D247" s="1">
        <v>5.329999924</v>
      </c>
      <c r="E247" s="1">
        <v>5.329999924</v>
      </c>
      <c r="F247" s="1">
        <v>0</v>
      </c>
      <c r="G247" s="1">
        <v>0.37000000500000002</v>
      </c>
      <c r="H247" s="1">
        <v>0.730000019</v>
      </c>
      <c r="I247" s="1">
        <v>4.2399997709999999</v>
      </c>
      <c r="J247" s="1">
        <v>0</v>
      </c>
      <c r="K247" s="1">
        <v>5</v>
      </c>
      <c r="L247" s="1">
        <v>15</v>
      </c>
      <c r="M247" s="1">
        <v>212</v>
      </c>
      <c r="N247" s="1">
        <v>1208</v>
      </c>
      <c r="O247" s="1">
        <v>2786</v>
      </c>
      <c r="P247" s="1" t="s">
        <v>19</v>
      </c>
      <c r="Q247" s="2"/>
      <c r="R247" s="1"/>
      <c r="S247" s="1"/>
      <c r="T247" s="1"/>
      <c r="U247" t="str">
        <f>TEXT(Merge2[[#This Row],[ActivityDate]],"dddd")</f>
        <v>Tuesday</v>
      </c>
    </row>
    <row r="248" spans="1:21" x14ac:dyDescent="0.35">
      <c r="A248" s="1">
        <v>8792009665</v>
      </c>
      <c r="B248" s="2">
        <v>42465</v>
      </c>
      <c r="C248" s="1">
        <v>2332</v>
      </c>
      <c r="D248" s="1">
        <v>1.4900000099999999</v>
      </c>
      <c r="E248" s="1">
        <v>1.4900000099999999</v>
      </c>
      <c r="F248" s="1">
        <v>0</v>
      </c>
      <c r="G248" s="1">
        <v>0.01</v>
      </c>
      <c r="H248" s="1">
        <v>0.18000000699999999</v>
      </c>
      <c r="I248" s="1">
        <v>1.2999999520000001</v>
      </c>
      <c r="J248" s="1">
        <v>0</v>
      </c>
      <c r="K248" s="1">
        <v>1</v>
      </c>
      <c r="L248" s="1">
        <v>10</v>
      </c>
      <c r="M248" s="1">
        <v>111</v>
      </c>
      <c r="N248" s="1">
        <v>904</v>
      </c>
      <c r="O248" s="1">
        <v>2100</v>
      </c>
      <c r="P248" s="1" t="s">
        <v>17</v>
      </c>
      <c r="Q248" s="2"/>
      <c r="R248" s="1"/>
      <c r="S248" s="1"/>
      <c r="T248" s="1"/>
      <c r="U248" t="str">
        <f>TEXT(Merge2[[#This Row],[ActivityDate]],"dddd")</f>
        <v>Tuesday</v>
      </c>
    </row>
    <row r="249" spans="1:21" x14ac:dyDescent="0.35">
      <c r="A249" s="1">
        <v>8877689391</v>
      </c>
      <c r="B249" s="2">
        <v>42465</v>
      </c>
      <c r="C249" s="1">
        <v>10695</v>
      </c>
      <c r="D249" s="1">
        <v>8.1199998860000004</v>
      </c>
      <c r="E249" s="1">
        <v>8.1199998860000004</v>
      </c>
      <c r="F249" s="1">
        <v>0</v>
      </c>
      <c r="G249" s="1">
        <v>0.769999981</v>
      </c>
      <c r="H249" s="1">
        <v>0.18000000699999999</v>
      </c>
      <c r="I249" s="1">
        <v>7.0900001530000001</v>
      </c>
      <c r="J249" s="1">
        <v>0.01</v>
      </c>
      <c r="K249" s="1">
        <v>10</v>
      </c>
      <c r="L249" s="1">
        <v>3</v>
      </c>
      <c r="M249" s="1">
        <v>246</v>
      </c>
      <c r="N249" s="1">
        <v>1181</v>
      </c>
      <c r="O249" s="1">
        <v>2834</v>
      </c>
      <c r="P249" s="1" t="s">
        <v>16</v>
      </c>
      <c r="Q249" s="2"/>
      <c r="R249" s="1"/>
      <c r="S249" s="1"/>
      <c r="T249" s="1"/>
      <c r="U249" t="str">
        <f>TEXT(Merge2[[#This Row],[ActivityDate]],"dddd")</f>
        <v>Tuesday</v>
      </c>
    </row>
    <row r="250" spans="1:21" x14ac:dyDescent="0.35">
      <c r="A250" s="1">
        <v>1503960366</v>
      </c>
      <c r="B250" s="2">
        <v>42466</v>
      </c>
      <c r="C250" s="1">
        <v>11974</v>
      </c>
      <c r="D250" s="1">
        <v>7.670000076</v>
      </c>
      <c r="E250" s="1">
        <v>7.670000076</v>
      </c>
      <c r="F250" s="1">
        <v>0</v>
      </c>
      <c r="G250" s="1">
        <v>2.039999962</v>
      </c>
      <c r="H250" s="1">
        <v>0.47999998900000002</v>
      </c>
      <c r="I250" s="1">
        <v>5.1500000950000002</v>
      </c>
      <c r="J250" s="1">
        <v>0</v>
      </c>
      <c r="K250" s="1">
        <v>27</v>
      </c>
      <c r="L250" s="1">
        <v>12</v>
      </c>
      <c r="M250" s="1">
        <v>228</v>
      </c>
      <c r="N250" s="1">
        <v>1173</v>
      </c>
      <c r="O250" s="1">
        <v>1861</v>
      </c>
      <c r="P250" s="1" t="s">
        <v>16</v>
      </c>
      <c r="Q250" s="2"/>
      <c r="R250" s="1"/>
      <c r="S250" s="1"/>
      <c r="T250" s="1"/>
      <c r="U250" t="str">
        <f>TEXT(Merge2[[#This Row],[ActivityDate]],"dddd")</f>
        <v>Wednesday</v>
      </c>
    </row>
    <row r="251" spans="1:21" x14ac:dyDescent="0.35">
      <c r="A251" s="1">
        <v>1624580081</v>
      </c>
      <c r="B251" s="2">
        <v>42466</v>
      </c>
      <c r="C251" s="1">
        <v>1004</v>
      </c>
      <c r="D251" s="1">
        <v>0.64999997600000003</v>
      </c>
      <c r="E251" s="1">
        <v>0.64999997600000003</v>
      </c>
      <c r="F251" s="1">
        <v>0</v>
      </c>
      <c r="G251" s="1">
        <v>0</v>
      </c>
      <c r="H251" s="1">
        <v>0</v>
      </c>
      <c r="I251" s="1">
        <v>0.64999997600000003</v>
      </c>
      <c r="J251" s="1">
        <v>0</v>
      </c>
      <c r="K251" s="1">
        <v>0</v>
      </c>
      <c r="L251" s="1">
        <v>0</v>
      </c>
      <c r="M251" s="1">
        <v>55</v>
      </c>
      <c r="N251" s="1">
        <v>1385</v>
      </c>
      <c r="O251" s="1">
        <v>1276</v>
      </c>
      <c r="P251" s="1" t="s">
        <v>17</v>
      </c>
      <c r="Q251" s="2"/>
      <c r="R251" s="1"/>
      <c r="S251" s="1"/>
      <c r="T251" s="1"/>
      <c r="U251" t="str">
        <f>TEXT(Merge2[[#This Row],[ActivityDate]],"dddd")</f>
        <v>Wednesday</v>
      </c>
    </row>
    <row r="252" spans="1:21" x14ac:dyDescent="0.35">
      <c r="A252" s="1">
        <v>1644430081</v>
      </c>
      <c r="B252" s="2">
        <v>42466</v>
      </c>
      <c r="C252" s="1">
        <v>8046</v>
      </c>
      <c r="D252" s="1">
        <v>5.8499999049999998</v>
      </c>
      <c r="E252" s="1">
        <v>5.8499999049999998</v>
      </c>
      <c r="F252" s="1">
        <v>0</v>
      </c>
      <c r="G252" s="1">
        <v>1.289999962</v>
      </c>
      <c r="H252" s="1">
        <v>2.119999886</v>
      </c>
      <c r="I252" s="1">
        <v>2.4500000480000002</v>
      </c>
      <c r="J252" s="1">
        <v>0</v>
      </c>
      <c r="K252" s="1">
        <v>18</v>
      </c>
      <c r="L252" s="1">
        <v>41</v>
      </c>
      <c r="M252" s="1">
        <v>137</v>
      </c>
      <c r="N252" s="1">
        <v>1244</v>
      </c>
      <c r="O252" s="1">
        <v>2925</v>
      </c>
      <c r="P252" s="1" t="s">
        <v>18</v>
      </c>
      <c r="Q252" s="2"/>
      <c r="R252" s="1"/>
      <c r="S252" s="1"/>
      <c r="T252" s="1"/>
      <c r="U252" t="str">
        <f>TEXT(Merge2[[#This Row],[ActivityDate]],"dddd")</f>
        <v>Wednesday</v>
      </c>
    </row>
    <row r="253" spans="1:21" x14ac:dyDescent="0.35">
      <c r="A253" s="1">
        <v>1844505072</v>
      </c>
      <c r="B253" s="2">
        <v>42466</v>
      </c>
      <c r="C253" s="1">
        <v>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v>1439</v>
      </c>
      <c r="O253" s="1">
        <v>1349</v>
      </c>
      <c r="P253" s="1" t="s">
        <v>17</v>
      </c>
      <c r="Q253" s="2"/>
      <c r="R253" s="1"/>
      <c r="S253" s="1"/>
      <c r="T253" s="1"/>
      <c r="U253" t="str">
        <f>TEXT(Merge2[[#This Row],[ActivityDate]],"dddd")</f>
        <v>Wednesday</v>
      </c>
    </row>
    <row r="254" spans="1:21" x14ac:dyDescent="0.35">
      <c r="A254" s="1">
        <v>1927972279</v>
      </c>
      <c r="B254" s="2">
        <v>42466</v>
      </c>
      <c r="C254" s="1">
        <v>1259</v>
      </c>
      <c r="D254" s="1">
        <v>0.87000000499999997</v>
      </c>
      <c r="E254" s="1">
        <v>0.87000000499999997</v>
      </c>
      <c r="F254" s="1">
        <v>0</v>
      </c>
      <c r="G254" s="1">
        <v>0</v>
      </c>
      <c r="H254" s="1">
        <v>0</v>
      </c>
      <c r="I254" s="1">
        <v>0.87000000499999997</v>
      </c>
      <c r="J254" s="1">
        <v>0</v>
      </c>
      <c r="K254" s="1">
        <v>0</v>
      </c>
      <c r="L254" s="1">
        <v>0</v>
      </c>
      <c r="M254" s="1">
        <v>73</v>
      </c>
      <c r="N254" s="1">
        <v>938</v>
      </c>
      <c r="O254" s="1">
        <v>2202</v>
      </c>
      <c r="P254" s="1" t="s">
        <v>17</v>
      </c>
      <c r="Q254" s="2"/>
      <c r="R254" s="1"/>
      <c r="S254" s="1"/>
      <c r="T254" s="1"/>
      <c r="U254" t="str">
        <f>TEXT(Merge2[[#This Row],[ActivityDate]],"dddd")</f>
        <v>Wednesday</v>
      </c>
    </row>
    <row r="255" spans="1:21" x14ac:dyDescent="0.35">
      <c r="A255" s="1">
        <v>2022484408</v>
      </c>
      <c r="B255" s="2">
        <v>42466</v>
      </c>
      <c r="C255" s="1">
        <v>15392</v>
      </c>
      <c r="D255" s="1">
        <v>10.93000031</v>
      </c>
      <c r="E255" s="1">
        <v>10.93000031</v>
      </c>
      <c r="F255" s="1">
        <v>0</v>
      </c>
      <c r="G255" s="1">
        <v>3.4300000669999999</v>
      </c>
      <c r="H255" s="1">
        <v>1.75</v>
      </c>
      <c r="I255" s="1">
        <v>5.75</v>
      </c>
      <c r="J255" s="1">
        <v>0</v>
      </c>
      <c r="K255" s="1">
        <v>47</v>
      </c>
      <c r="L255" s="1">
        <v>42</v>
      </c>
      <c r="M255" s="1">
        <v>258</v>
      </c>
      <c r="N255" s="1">
        <v>1093</v>
      </c>
      <c r="O255" s="1">
        <v>2733</v>
      </c>
      <c r="P255" s="1" t="s">
        <v>16</v>
      </c>
      <c r="Q255" s="2"/>
      <c r="R255" s="1"/>
      <c r="S255" s="1"/>
      <c r="T255" s="1"/>
      <c r="U255" t="str">
        <f>TEXT(Merge2[[#This Row],[ActivityDate]],"dddd")</f>
        <v>Wednesday</v>
      </c>
    </row>
    <row r="256" spans="1:21" x14ac:dyDescent="0.35">
      <c r="A256" s="1">
        <v>2026352035</v>
      </c>
      <c r="B256" s="2">
        <v>42466</v>
      </c>
      <c r="C256" s="1">
        <v>3180</v>
      </c>
      <c r="D256" s="1">
        <v>1.9700000289999999</v>
      </c>
      <c r="E256" s="1">
        <v>1.9700000289999999</v>
      </c>
      <c r="F256" s="1">
        <v>0</v>
      </c>
      <c r="G256" s="1">
        <v>0</v>
      </c>
      <c r="H256" s="1">
        <v>0</v>
      </c>
      <c r="I256" s="1">
        <v>1.9700000289999999</v>
      </c>
      <c r="J256" s="1">
        <v>0</v>
      </c>
      <c r="K256" s="1">
        <v>0</v>
      </c>
      <c r="L256" s="1">
        <v>0</v>
      </c>
      <c r="M256" s="1">
        <v>185</v>
      </c>
      <c r="N256" s="1">
        <v>738</v>
      </c>
      <c r="O256" s="1">
        <v>1421</v>
      </c>
      <c r="P256" s="1" t="s">
        <v>17</v>
      </c>
      <c r="Q256" s="2"/>
      <c r="R256" s="1"/>
      <c r="S256" s="1"/>
      <c r="T256" s="1"/>
      <c r="U256" t="str">
        <f>TEXT(Merge2[[#This Row],[ActivityDate]],"dddd")</f>
        <v>Wednesday</v>
      </c>
    </row>
    <row r="257" spans="1:21" x14ac:dyDescent="0.35">
      <c r="A257" s="1">
        <v>2320127002</v>
      </c>
      <c r="B257" s="2">
        <v>42466</v>
      </c>
      <c r="C257" s="1">
        <v>6999</v>
      </c>
      <c r="D257" s="1">
        <v>4.7199997900000001</v>
      </c>
      <c r="E257" s="1">
        <v>4.7199997900000001</v>
      </c>
      <c r="F257" s="1">
        <v>0</v>
      </c>
      <c r="G257" s="1">
        <v>0</v>
      </c>
      <c r="H257" s="1">
        <v>0</v>
      </c>
      <c r="I257" s="1">
        <v>4.7199997900000001</v>
      </c>
      <c r="J257" s="1">
        <v>0</v>
      </c>
      <c r="K257" s="1">
        <v>0</v>
      </c>
      <c r="L257" s="1">
        <v>0</v>
      </c>
      <c r="M257" s="1">
        <v>320</v>
      </c>
      <c r="N257" s="1">
        <v>1120</v>
      </c>
      <c r="O257" s="1">
        <v>1950</v>
      </c>
      <c r="P257" s="1" t="s">
        <v>19</v>
      </c>
      <c r="Q257" s="2"/>
      <c r="R257" s="1"/>
      <c r="S257" s="1"/>
      <c r="T257" s="1"/>
      <c r="U257" t="str">
        <f>TEXT(Merge2[[#This Row],[ActivityDate]],"dddd")</f>
        <v>Wednesday</v>
      </c>
    </row>
    <row r="258" spans="1:21" x14ac:dyDescent="0.35">
      <c r="A258" s="1">
        <v>2347167796</v>
      </c>
      <c r="B258" s="2">
        <v>42466</v>
      </c>
      <c r="C258" s="1">
        <v>11107</v>
      </c>
      <c r="D258" s="1">
        <v>7.3400001530000001</v>
      </c>
      <c r="E258" s="1">
        <v>7.3400001530000001</v>
      </c>
      <c r="F258" s="1">
        <v>0</v>
      </c>
      <c r="G258" s="1">
        <v>0.89999997600000003</v>
      </c>
      <c r="H258" s="1">
        <v>2.7599999899999998</v>
      </c>
      <c r="I258" s="1">
        <v>3.6800000669999999</v>
      </c>
      <c r="J258" s="1">
        <v>0</v>
      </c>
      <c r="K258" s="1">
        <v>14</v>
      </c>
      <c r="L258" s="1">
        <v>46</v>
      </c>
      <c r="M258" s="1">
        <v>196</v>
      </c>
      <c r="N258" s="1">
        <v>759</v>
      </c>
      <c r="O258" s="1">
        <v>2058</v>
      </c>
      <c r="P258" s="1" t="s">
        <v>16</v>
      </c>
      <c r="Q258" s="2"/>
      <c r="R258" s="1"/>
      <c r="S258" s="1"/>
      <c r="T258" s="1"/>
      <c r="U258" t="str">
        <f>TEXT(Merge2[[#This Row],[ActivityDate]],"dddd")</f>
        <v>Wednesday</v>
      </c>
    </row>
    <row r="259" spans="1:21" x14ac:dyDescent="0.35">
      <c r="A259" s="1">
        <v>2873212765</v>
      </c>
      <c r="B259" s="2">
        <v>42466</v>
      </c>
      <c r="C259" s="1">
        <v>7350</v>
      </c>
      <c r="D259" s="1">
        <v>4.9400000569999998</v>
      </c>
      <c r="E259" s="1">
        <v>4.9400000569999998</v>
      </c>
      <c r="F259" s="1">
        <v>0</v>
      </c>
      <c r="G259" s="1">
        <v>0</v>
      </c>
      <c r="H259" s="1">
        <v>0</v>
      </c>
      <c r="I259" s="1">
        <v>4.9400000569999998</v>
      </c>
      <c r="J259" s="1">
        <v>0</v>
      </c>
      <c r="K259" s="1">
        <v>0</v>
      </c>
      <c r="L259" s="1">
        <v>0</v>
      </c>
      <c r="M259" s="1">
        <v>382</v>
      </c>
      <c r="N259" s="1">
        <v>1058</v>
      </c>
      <c r="O259" s="1">
        <v>1910</v>
      </c>
      <c r="P259" s="1" t="s">
        <v>19</v>
      </c>
      <c r="Q259" s="2"/>
      <c r="R259" s="1"/>
      <c r="S259" s="1"/>
      <c r="T259" s="1"/>
      <c r="U259" t="str">
        <f>TEXT(Merge2[[#This Row],[ActivityDate]],"dddd")</f>
        <v>Wednesday</v>
      </c>
    </row>
    <row r="260" spans="1:21" x14ac:dyDescent="0.35">
      <c r="A260" s="1">
        <v>3372868164</v>
      </c>
      <c r="B260" s="2">
        <v>42466</v>
      </c>
      <c r="C260" s="1">
        <v>6406</v>
      </c>
      <c r="D260" s="1">
        <v>4.3899998660000001</v>
      </c>
      <c r="E260" s="1">
        <v>4.3899998660000001</v>
      </c>
      <c r="F260" s="1">
        <v>0</v>
      </c>
      <c r="G260" s="1">
        <v>0.77999997099999996</v>
      </c>
      <c r="H260" s="1">
        <v>9.0000003999999995E-2</v>
      </c>
      <c r="I260" s="1">
        <v>3.5199999809999998</v>
      </c>
      <c r="J260" s="1">
        <v>0.01</v>
      </c>
      <c r="K260" s="1">
        <v>17</v>
      </c>
      <c r="L260" s="1">
        <v>4</v>
      </c>
      <c r="M260" s="1">
        <v>325</v>
      </c>
      <c r="N260" s="1">
        <v>1094</v>
      </c>
      <c r="O260" s="1">
        <v>2010</v>
      </c>
      <c r="P260" s="1" t="s">
        <v>19</v>
      </c>
      <c r="Q260" s="2"/>
      <c r="R260" s="1"/>
      <c r="S260" s="1"/>
      <c r="T260" s="1"/>
      <c r="U260" t="str">
        <f>TEXT(Merge2[[#This Row],[ActivityDate]],"dddd")</f>
        <v>Wednesday</v>
      </c>
    </row>
    <row r="261" spans="1:21" x14ac:dyDescent="0.35">
      <c r="A261" s="1">
        <v>3977333714</v>
      </c>
      <c r="B261" s="2">
        <v>42466</v>
      </c>
      <c r="C261" s="1">
        <v>15425</v>
      </c>
      <c r="D261" s="1">
        <v>10.31999969</v>
      </c>
      <c r="E261" s="1">
        <v>10.31999969</v>
      </c>
      <c r="F261" s="1">
        <v>0</v>
      </c>
      <c r="G261" s="1">
        <v>1.6200000050000001</v>
      </c>
      <c r="H261" s="1">
        <v>1.8200000519999999</v>
      </c>
      <c r="I261" s="1">
        <v>6.8699998860000004</v>
      </c>
      <c r="J261" s="1">
        <v>0</v>
      </c>
      <c r="K261" s="1">
        <v>24</v>
      </c>
      <c r="L261" s="1">
        <v>45</v>
      </c>
      <c r="M261" s="1">
        <v>331</v>
      </c>
      <c r="N261" s="1">
        <v>614</v>
      </c>
      <c r="O261" s="1">
        <v>1783</v>
      </c>
      <c r="P261" s="1" t="s">
        <v>16</v>
      </c>
      <c r="Q261" s="2"/>
      <c r="R261" s="1"/>
      <c r="S261" s="1"/>
      <c r="T261" s="1"/>
      <c r="U261" t="str">
        <f>TEXT(Merge2[[#This Row],[ActivityDate]],"dddd")</f>
        <v>Wednesday</v>
      </c>
    </row>
    <row r="262" spans="1:21" x14ac:dyDescent="0.35">
      <c r="A262" s="1">
        <v>4020332650</v>
      </c>
      <c r="B262" s="2">
        <v>42466</v>
      </c>
      <c r="C262" s="1">
        <v>7476</v>
      </c>
      <c r="D262" s="1">
        <v>5.3600001339999999</v>
      </c>
      <c r="E262" s="1">
        <v>5.3600001339999999</v>
      </c>
      <c r="F262" s="1">
        <v>0</v>
      </c>
      <c r="G262" s="1">
        <v>0</v>
      </c>
      <c r="H262" s="1">
        <v>0</v>
      </c>
      <c r="I262" s="1">
        <v>5.3099999430000002</v>
      </c>
      <c r="J262" s="1">
        <v>0</v>
      </c>
      <c r="K262" s="1">
        <v>0</v>
      </c>
      <c r="L262" s="1">
        <v>0</v>
      </c>
      <c r="M262" s="1">
        <v>263</v>
      </c>
      <c r="N262" s="1">
        <v>920</v>
      </c>
      <c r="O262" s="1">
        <v>3253</v>
      </c>
      <c r="P262" s="1" t="s">
        <v>19</v>
      </c>
      <c r="Q262" s="2"/>
      <c r="R262" s="1"/>
      <c r="S262" s="1"/>
      <c r="T262" s="1"/>
      <c r="U262" t="str">
        <f>TEXT(Merge2[[#This Row],[ActivityDate]],"dddd")</f>
        <v>Wednesday</v>
      </c>
    </row>
    <row r="263" spans="1:21" x14ac:dyDescent="0.35">
      <c r="A263" s="1">
        <v>4057192912</v>
      </c>
      <c r="B263" s="2">
        <v>42466</v>
      </c>
      <c r="C263" s="1">
        <v>18</v>
      </c>
      <c r="D263" s="1">
        <v>0.01</v>
      </c>
      <c r="E263" s="1">
        <v>0.01</v>
      </c>
      <c r="F263" s="1">
        <v>0</v>
      </c>
      <c r="G263" s="1">
        <v>0</v>
      </c>
      <c r="H263" s="1">
        <v>0</v>
      </c>
      <c r="I263" s="1">
        <v>0.01</v>
      </c>
      <c r="J263" s="1">
        <v>0</v>
      </c>
      <c r="K263" s="1">
        <v>0</v>
      </c>
      <c r="L263" s="1">
        <v>0</v>
      </c>
      <c r="M263" s="1">
        <v>2</v>
      </c>
      <c r="N263" s="1">
        <v>1438</v>
      </c>
      <c r="O263" s="1">
        <v>1780</v>
      </c>
      <c r="P263" s="1" t="s">
        <v>17</v>
      </c>
      <c r="Q263" s="2"/>
      <c r="R263" s="1"/>
      <c r="S263" s="1"/>
      <c r="T263" s="1"/>
      <c r="U263" t="str">
        <f>TEXT(Merge2[[#This Row],[ActivityDate]],"dddd")</f>
        <v>Wednesday</v>
      </c>
    </row>
    <row r="264" spans="1:21" x14ac:dyDescent="0.35">
      <c r="A264" s="1">
        <v>4319703577</v>
      </c>
      <c r="B264" s="2">
        <v>42466</v>
      </c>
      <c r="C264" s="1">
        <v>10946</v>
      </c>
      <c r="D264" s="1">
        <v>7.3499999049999998</v>
      </c>
      <c r="E264" s="1">
        <v>7.3499999049999998</v>
      </c>
      <c r="F264" s="1">
        <v>0</v>
      </c>
      <c r="G264" s="1">
        <v>0.540000021</v>
      </c>
      <c r="H264" s="1">
        <v>2.0899999139999998</v>
      </c>
      <c r="I264" s="1">
        <v>4.7199997900000001</v>
      </c>
      <c r="J264" s="1">
        <v>0</v>
      </c>
      <c r="K264" s="1">
        <v>8</v>
      </c>
      <c r="L264" s="1">
        <v>51</v>
      </c>
      <c r="M264" s="1">
        <v>308</v>
      </c>
      <c r="N264" s="1">
        <v>569</v>
      </c>
      <c r="O264" s="1">
        <v>2341</v>
      </c>
      <c r="P264" s="1" t="s">
        <v>16</v>
      </c>
      <c r="Q264" s="2"/>
      <c r="R264" s="1"/>
      <c r="S264" s="1"/>
      <c r="T264" s="1"/>
      <c r="U264" t="str">
        <f>TEXT(Merge2[[#This Row],[ActivityDate]],"dddd")</f>
        <v>Wednesday</v>
      </c>
    </row>
    <row r="265" spans="1:21" x14ac:dyDescent="0.35">
      <c r="A265" s="1">
        <v>4445114986</v>
      </c>
      <c r="B265" s="2">
        <v>42466</v>
      </c>
      <c r="C265" s="1">
        <v>6911</v>
      </c>
      <c r="D265" s="1">
        <v>4.7800002099999999</v>
      </c>
      <c r="E265" s="1">
        <v>4.7800002099999999</v>
      </c>
      <c r="F265" s="1">
        <v>0</v>
      </c>
      <c r="G265" s="1">
        <v>2.3199999330000001</v>
      </c>
      <c r="H265" s="1">
        <v>0.10000000100000001</v>
      </c>
      <c r="I265" s="1">
        <v>2.3599998950000001</v>
      </c>
      <c r="J265" s="1">
        <v>0</v>
      </c>
      <c r="K265" s="1">
        <v>28</v>
      </c>
      <c r="L265" s="1">
        <v>2</v>
      </c>
      <c r="M265" s="1">
        <v>215</v>
      </c>
      <c r="N265" s="1">
        <v>745</v>
      </c>
      <c r="O265" s="1">
        <v>2374</v>
      </c>
      <c r="P265" s="1" t="s">
        <v>19</v>
      </c>
      <c r="Q265" s="2"/>
      <c r="R265" s="1"/>
      <c r="S265" s="1"/>
      <c r="T265" s="1"/>
      <c r="U265" t="str">
        <f>TEXT(Merge2[[#This Row],[ActivityDate]],"dddd")</f>
        <v>Wednesday</v>
      </c>
    </row>
    <row r="266" spans="1:21" x14ac:dyDescent="0.35">
      <c r="A266" s="1">
        <v>4558609924</v>
      </c>
      <c r="B266" s="2">
        <v>42466</v>
      </c>
      <c r="C266" s="1">
        <v>5668</v>
      </c>
      <c r="D266" s="1">
        <v>3.75</v>
      </c>
      <c r="E266" s="1">
        <v>3.75</v>
      </c>
      <c r="F266" s="1">
        <v>0</v>
      </c>
      <c r="G266" s="1">
        <v>0</v>
      </c>
      <c r="H266" s="1">
        <v>0</v>
      </c>
      <c r="I266" s="1">
        <v>3.75</v>
      </c>
      <c r="J266" s="1">
        <v>0</v>
      </c>
      <c r="K266" s="1">
        <v>0</v>
      </c>
      <c r="L266" s="1">
        <v>0</v>
      </c>
      <c r="M266" s="1">
        <v>259</v>
      </c>
      <c r="N266" s="1">
        <v>1181</v>
      </c>
      <c r="O266" s="1">
        <v>1853</v>
      </c>
      <c r="P266" s="1" t="s">
        <v>19</v>
      </c>
      <c r="Q266" s="2"/>
      <c r="R266" s="1"/>
      <c r="S266" s="1"/>
      <c r="T266" s="1"/>
      <c r="U266" t="str">
        <f>TEXT(Merge2[[#This Row],[ActivityDate]],"dddd")</f>
        <v>Wednesday</v>
      </c>
    </row>
    <row r="267" spans="1:21" x14ac:dyDescent="0.35">
      <c r="A267" s="1">
        <v>4702921684</v>
      </c>
      <c r="B267" s="2">
        <v>42466</v>
      </c>
      <c r="C267" s="1">
        <v>7605</v>
      </c>
      <c r="D267" s="1">
        <v>6.1799998279999997</v>
      </c>
      <c r="E267" s="1">
        <v>6.1799998279999997</v>
      </c>
      <c r="F267" s="1">
        <v>0</v>
      </c>
      <c r="G267" s="1">
        <v>0.33000001299999998</v>
      </c>
      <c r="H267" s="1">
        <v>0.209999993</v>
      </c>
      <c r="I267" s="1">
        <v>5.6300001139999996</v>
      </c>
      <c r="J267" s="1">
        <v>0</v>
      </c>
      <c r="K267" s="1">
        <v>4</v>
      </c>
      <c r="L267" s="1">
        <v>4</v>
      </c>
      <c r="M267" s="1">
        <v>248</v>
      </c>
      <c r="N267" s="1">
        <v>708</v>
      </c>
      <c r="O267" s="1">
        <v>2943</v>
      </c>
      <c r="P267" s="1" t="s">
        <v>18</v>
      </c>
      <c r="Q267" s="2"/>
      <c r="R267" s="1"/>
      <c r="S267" s="1"/>
      <c r="T267" s="1"/>
      <c r="U267" t="str">
        <f>TEXT(Merge2[[#This Row],[ActivityDate]],"dddd")</f>
        <v>Wednesday</v>
      </c>
    </row>
    <row r="268" spans="1:21" x14ac:dyDescent="0.35">
      <c r="A268" s="1">
        <v>5553957443</v>
      </c>
      <c r="B268" s="2">
        <v>42466</v>
      </c>
      <c r="C268" s="1">
        <v>12252</v>
      </c>
      <c r="D268" s="1">
        <v>8</v>
      </c>
      <c r="E268" s="1">
        <v>8</v>
      </c>
      <c r="F268" s="1">
        <v>0</v>
      </c>
      <c r="G268" s="1">
        <v>2.4100000860000002</v>
      </c>
      <c r="H268" s="1">
        <v>1.7000000479999999</v>
      </c>
      <c r="I268" s="1">
        <v>3.8900001049999999</v>
      </c>
      <c r="J268" s="1">
        <v>0</v>
      </c>
      <c r="K268" s="1">
        <v>33</v>
      </c>
      <c r="L268" s="1">
        <v>28</v>
      </c>
      <c r="M268" s="1">
        <v>229</v>
      </c>
      <c r="N268" s="1">
        <v>745</v>
      </c>
      <c r="O268" s="1">
        <v>2044</v>
      </c>
      <c r="P268" s="1" t="s">
        <v>16</v>
      </c>
      <c r="Q268" s="2"/>
      <c r="R268" s="1"/>
      <c r="S268" s="1"/>
      <c r="T268" s="1"/>
      <c r="U268" t="str">
        <f>TEXT(Merge2[[#This Row],[ActivityDate]],"dddd")</f>
        <v>Wednesday</v>
      </c>
    </row>
    <row r="269" spans="1:21" x14ac:dyDescent="0.35">
      <c r="A269" s="1">
        <v>5577150313</v>
      </c>
      <c r="B269" s="2">
        <v>42466</v>
      </c>
      <c r="C269" s="1">
        <v>11080</v>
      </c>
      <c r="D269" s="1">
        <v>8.3000001910000005</v>
      </c>
      <c r="E269" s="1">
        <v>8.3000001910000005</v>
      </c>
      <c r="F269" s="1">
        <v>0</v>
      </c>
      <c r="G269" s="1">
        <v>3.130000114</v>
      </c>
      <c r="H269" s="1">
        <v>1.3700000050000001</v>
      </c>
      <c r="I269" s="1">
        <v>3.8099999430000002</v>
      </c>
      <c r="J269" s="1">
        <v>0</v>
      </c>
      <c r="K269" s="1">
        <v>83</v>
      </c>
      <c r="L269" s="1">
        <v>52</v>
      </c>
      <c r="M269" s="1">
        <v>190</v>
      </c>
      <c r="N269" s="1">
        <v>695</v>
      </c>
      <c r="O269" s="1">
        <v>3765</v>
      </c>
      <c r="P269" s="1" t="s">
        <v>16</v>
      </c>
      <c r="Q269" s="2"/>
      <c r="R269" s="1"/>
      <c r="S269" s="1"/>
      <c r="T269" s="1"/>
      <c r="U269" t="str">
        <f>TEXT(Merge2[[#This Row],[ActivityDate]],"dddd")</f>
        <v>Wednesday</v>
      </c>
    </row>
    <row r="270" spans="1:21" x14ac:dyDescent="0.35">
      <c r="A270" s="1">
        <v>6117666160</v>
      </c>
      <c r="B270" s="2">
        <v>42466</v>
      </c>
      <c r="C270" s="1">
        <v>12409</v>
      </c>
      <c r="D270" s="1">
        <v>9.3699998860000004</v>
      </c>
      <c r="E270" s="1">
        <v>9.3699998860000004</v>
      </c>
      <c r="F270" s="1">
        <v>0</v>
      </c>
      <c r="G270" s="1">
        <v>0</v>
      </c>
      <c r="H270" s="1">
        <v>0</v>
      </c>
      <c r="I270" s="1">
        <v>9.3699998860000004</v>
      </c>
      <c r="J270" s="1">
        <v>0</v>
      </c>
      <c r="K270" s="1">
        <v>0</v>
      </c>
      <c r="L270" s="1">
        <v>0</v>
      </c>
      <c r="M270" s="1">
        <v>491</v>
      </c>
      <c r="N270" s="1">
        <v>388</v>
      </c>
      <c r="O270" s="1">
        <v>2694</v>
      </c>
      <c r="P270" s="1" t="s">
        <v>16</v>
      </c>
      <c r="Q270" s="2"/>
      <c r="R270" s="1"/>
      <c r="S270" s="1"/>
      <c r="T270" s="1"/>
      <c r="U270" t="str">
        <f>TEXT(Merge2[[#This Row],[ActivityDate]],"dddd")</f>
        <v>Wednesday</v>
      </c>
    </row>
    <row r="271" spans="1:21" x14ac:dyDescent="0.35">
      <c r="A271" s="1">
        <v>6290855005</v>
      </c>
      <c r="B271" s="2">
        <v>42466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1440</v>
      </c>
      <c r="O271" s="1">
        <v>2060</v>
      </c>
      <c r="P271" s="1" t="s">
        <v>17</v>
      </c>
      <c r="Q271" s="2"/>
      <c r="R271" s="1"/>
      <c r="S271" s="1"/>
      <c r="T271" s="1"/>
      <c r="U271" t="str">
        <f>TEXT(Merge2[[#This Row],[ActivityDate]],"dddd")</f>
        <v>Wednesday</v>
      </c>
    </row>
    <row r="272" spans="1:21" x14ac:dyDescent="0.35">
      <c r="A272" s="1">
        <v>6391747486</v>
      </c>
      <c r="B272" s="2">
        <v>42466</v>
      </c>
      <c r="C272" s="1">
        <v>165</v>
      </c>
      <c r="D272" s="1">
        <v>0.12999999500000001</v>
      </c>
      <c r="E272" s="1">
        <v>0.12999999500000001</v>
      </c>
      <c r="F272" s="1">
        <v>0</v>
      </c>
      <c r="G272" s="1">
        <v>0</v>
      </c>
      <c r="H272" s="1">
        <v>0</v>
      </c>
      <c r="I272" s="1">
        <v>0.12999999500000001</v>
      </c>
      <c r="J272" s="1">
        <v>0</v>
      </c>
      <c r="K272" s="1">
        <v>0</v>
      </c>
      <c r="L272" s="1">
        <v>0</v>
      </c>
      <c r="M272" s="1">
        <v>8</v>
      </c>
      <c r="N272" s="1">
        <v>1432</v>
      </c>
      <c r="O272" s="1">
        <v>1849</v>
      </c>
      <c r="P272" s="1" t="s">
        <v>17</v>
      </c>
      <c r="Q272" s="2"/>
      <c r="R272" s="1"/>
      <c r="S272" s="1"/>
      <c r="T272" s="1"/>
      <c r="U272" t="str">
        <f>TEXT(Merge2[[#This Row],[ActivityDate]],"dddd")</f>
        <v>Wednesday</v>
      </c>
    </row>
    <row r="273" spans="1:21" x14ac:dyDescent="0.35">
      <c r="A273" s="1">
        <v>6775888955</v>
      </c>
      <c r="B273" s="2">
        <v>42466</v>
      </c>
      <c r="C273" s="1">
        <v>11761</v>
      </c>
      <c r="D273" s="1">
        <v>8.4300003050000001</v>
      </c>
      <c r="E273" s="1">
        <v>8.4300003050000001</v>
      </c>
      <c r="F273" s="1">
        <v>0</v>
      </c>
      <c r="G273" s="1">
        <v>1.309999943</v>
      </c>
      <c r="H273" s="1">
        <v>2.4400000569999998</v>
      </c>
      <c r="I273" s="1">
        <v>4.6799998279999997</v>
      </c>
      <c r="J273" s="1">
        <v>0</v>
      </c>
      <c r="K273" s="1">
        <v>24</v>
      </c>
      <c r="L273" s="1">
        <v>99</v>
      </c>
      <c r="M273" s="1">
        <v>300</v>
      </c>
      <c r="N273" s="1">
        <v>550</v>
      </c>
      <c r="O273" s="1">
        <v>3920</v>
      </c>
      <c r="P273" s="1" t="s">
        <v>16</v>
      </c>
      <c r="Q273" s="2"/>
      <c r="R273" s="1"/>
      <c r="S273" s="1"/>
      <c r="T273" s="1"/>
      <c r="U273" t="str">
        <f>TEXT(Merge2[[#This Row],[ActivityDate]],"dddd")</f>
        <v>Wednesday</v>
      </c>
    </row>
    <row r="274" spans="1:21" x14ac:dyDescent="0.35">
      <c r="A274" s="1">
        <v>6962181067</v>
      </c>
      <c r="B274" s="2">
        <v>42466</v>
      </c>
      <c r="C274" s="1">
        <v>12480</v>
      </c>
      <c r="D274" s="1">
        <v>8.8599996569999995</v>
      </c>
      <c r="E274" s="1">
        <v>8.25</v>
      </c>
      <c r="F274" s="1">
        <v>3.97279501</v>
      </c>
      <c r="G274" s="1">
        <v>4.1799998279999997</v>
      </c>
      <c r="H274" s="1">
        <v>0.689999998</v>
      </c>
      <c r="I274" s="1">
        <v>4</v>
      </c>
      <c r="J274" s="1">
        <v>0</v>
      </c>
      <c r="K274" s="1">
        <v>55</v>
      </c>
      <c r="L274" s="1">
        <v>14</v>
      </c>
      <c r="M274" s="1">
        <v>276</v>
      </c>
      <c r="N274" s="1">
        <v>593</v>
      </c>
      <c r="O274" s="1">
        <v>2170</v>
      </c>
      <c r="P274" s="1" t="s">
        <v>16</v>
      </c>
      <c r="Q274" s="2"/>
      <c r="R274" s="1"/>
      <c r="S274" s="1"/>
      <c r="T274" s="1"/>
      <c r="U274" t="str">
        <f>TEXT(Merge2[[#This Row],[ActivityDate]],"dddd")</f>
        <v>Wednesday</v>
      </c>
    </row>
    <row r="275" spans="1:21" x14ac:dyDescent="0.35">
      <c r="A275" s="1">
        <v>7007744171</v>
      </c>
      <c r="B275" s="2">
        <v>42466</v>
      </c>
      <c r="C275" s="1">
        <v>13513</v>
      </c>
      <c r="D275" s="1">
        <v>10.25</v>
      </c>
      <c r="E275" s="1">
        <v>9.0699996949999999</v>
      </c>
      <c r="F275" s="1">
        <v>4.835720062</v>
      </c>
      <c r="G275" s="1">
        <v>5.3499999049999998</v>
      </c>
      <c r="H275" s="1">
        <v>0.33000001299999998</v>
      </c>
      <c r="I275" s="1">
        <v>4.5599999430000002</v>
      </c>
      <c r="J275" s="1">
        <v>0</v>
      </c>
      <c r="K275" s="1">
        <v>64</v>
      </c>
      <c r="L275" s="1">
        <v>8</v>
      </c>
      <c r="M275" s="1">
        <v>270</v>
      </c>
      <c r="N275" s="1">
        <v>1098</v>
      </c>
      <c r="O275" s="1">
        <v>2811</v>
      </c>
      <c r="P275" s="1" t="s">
        <v>16</v>
      </c>
      <c r="Q275" s="2"/>
      <c r="R275" s="1"/>
      <c r="S275" s="1"/>
      <c r="T275" s="1"/>
      <c r="U275" t="str">
        <f>TEXT(Merge2[[#This Row],[ActivityDate]],"dddd")</f>
        <v>Wednesday</v>
      </c>
    </row>
    <row r="276" spans="1:21" x14ac:dyDescent="0.35">
      <c r="A276" s="1">
        <v>7086361926</v>
      </c>
      <c r="B276" s="2">
        <v>42466</v>
      </c>
      <c r="C276" s="1">
        <v>7352</v>
      </c>
      <c r="D276" s="1">
        <v>4.7300000190000002</v>
      </c>
      <c r="E276" s="1">
        <v>4.7300000190000002</v>
      </c>
      <c r="F276" s="1">
        <v>0</v>
      </c>
      <c r="G276" s="1">
        <v>1.4099999670000001</v>
      </c>
      <c r="H276" s="1">
        <v>0.77999997099999996</v>
      </c>
      <c r="I276" s="1">
        <v>2.5299999710000001</v>
      </c>
      <c r="J276" s="1">
        <v>0</v>
      </c>
      <c r="K276" s="1">
        <v>19</v>
      </c>
      <c r="L276" s="1">
        <v>14</v>
      </c>
      <c r="M276" s="1">
        <v>124</v>
      </c>
      <c r="N276" s="1">
        <v>814</v>
      </c>
      <c r="O276" s="1">
        <v>2233</v>
      </c>
      <c r="P276" s="1" t="s">
        <v>19</v>
      </c>
      <c r="Q276" s="2"/>
      <c r="R276" s="1"/>
      <c r="S276" s="1"/>
      <c r="T276" s="1"/>
      <c r="U276" t="str">
        <f>TEXT(Merge2[[#This Row],[ActivityDate]],"dddd")</f>
        <v>Wednesday</v>
      </c>
    </row>
    <row r="277" spans="1:21" x14ac:dyDescent="0.35">
      <c r="A277" s="1">
        <v>8053475328</v>
      </c>
      <c r="B277" s="2">
        <v>42466</v>
      </c>
      <c r="C277" s="1">
        <v>16435</v>
      </c>
      <c r="D277" s="1">
        <v>12.420000079999999</v>
      </c>
      <c r="E277" s="1">
        <v>12.420000079999999</v>
      </c>
      <c r="F277" s="1">
        <v>0</v>
      </c>
      <c r="G277" s="1">
        <v>8.9600000380000004</v>
      </c>
      <c r="H277" s="1">
        <v>0.55000001200000004</v>
      </c>
      <c r="I277" s="1">
        <v>2.9100000860000002</v>
      </c>
      <c r="J277" s="1">
        <v>0</v>
      </c>
      <c r="K277" s="1">
        <v>100</v>
      </c>
      <c r="L277" s="1">
        <v>14</v>
      </c>
      <c r="M277" s="1">
        <v>191</v>
      </c>
      <c r="N277" s="1">
        <v>1135</v>
      </c>
      <c r="O277" s="1">
        <v>3122</v>
      </c>
      <c r="P277" s="1" t="s">
        <v>16</v>
      </c>
      <c r="Q277" s="2"/>
      <c r="R277" s="1"/>
      <c r="S277" s="1"/>
      <c r="T277" s="1"/>
      <c r="U277" t="str">
        <f>TEXT(Merge2[[#This Row],[ActivityDate]],"dddd")</f>
        <v>Wednesday</v>
      </c>
    </row>
    <row r="278" spans="1:21" x14ac:dyDescent="0.35">
      <c r="A278" s="1">
        <v>8253242879</v>
      </c>
      <c r="B278" s="2">
        <v>42466</v>
      </c>
      <c r="C278" s="1">
        <v>1931</v>
      </c>
      <c r="D278" s="1">
        <v>1.2799999710000001</v>
      </c>
      <c r="E278" s="1">
        <v>1.2799999710000001</v>
      </c>
      <c r="F278" s="1">
        <v>0</v>
      </c>
      <c r="G278" s="1">
        <v>0</v>
      </c>
      <c r="H278" s="1">
        <v>0</v>
      </c>
      <c r="I278" s="1">
        <v>1.2799999710000001</v>
      </c>
      <c r="J278" s="1">
        <v>0</v>
      </c>
      <c r="K278" s="1">
        <v>0</v>
      </c>
      <c r="L278" s="1">
        <v>0</v>
      </c>
      <c r="M278" s="1">
        <v>94</v>
      </c>
      <c r="N278" s="1">
        <v>1346</v>
      </c>
      <c r="O278" s="1">
        <v>1607</v>
      </c>
      <c r="P278" s="1" t="s">
        <v>17</v>
      </c>
      <c r="Q278" s="2"/>
      <c r="R278" s="1"/>
      <c r="S278" s="1"/>
      <c r="T278" s="1"/>
      <c r="U278" t="str">
        <f>TEXT(Merge2[[#This Row],[ActivityDate]],"dddd")</f>
        <v>Wednesday</v>
      </c>
    </row>
    <row r="279" spans="1:21" x14ac:dyDescent="0.35">
      <c r="A279" s="1">
        <v>8378563200</v>
      </c>
      <c r="B279" s="2">
        <v>42466</v>
      </c>
      <c r="C279" s="1">
        <v>9124</v>
      </c>
      <c r="D279" s="1">
        <v>7.2399997709999999</v>
      </c>
      <c r="E279" s="1">
        <v>7.2399997709999999</v>
      </c>
      <c r="F279" s="1">
        <v>2.0921471120000001</v>
      </c>
      <c r="G279" s="1">
        <v>0</v>
      </c>
      <c r="H279" s="1">
        <v>0.25</v>
      </c>
      <c r="I279" s="1">
        <v>6.9899997709999999</v>
      </c>
      <c r="J279" s="1">
        <v>0</v>
      </c>
      <c r="K279" s="1">
        <v>55</v>
      </c>
      <c r="L279" s="1">
        <v>6</v>
      </c>
      <c r="M279" s="1">
        <v>230</v>
      </c>
      <c r="N279" s="1">
        <v>728</v>
      </c>
      <c r="O279" s="1">
        <v>3798</v>
      </c>
      <c r="P279" s="1" t="s">
        <v>18</v>
      </c>
      <c r="Q279" s="2"/>
      <c r="R279" s="1"/>
      <c r="S279" s="1"/>
      <c r="T279" s="1"/>
      <c r="U279" t="str">
        <f>TEXT(Merge2[[#This Row],[ActivityDate]],"dddd")</f>
        <v>Wednesday</v>
      </c>
    </row>
    <row r="280" spans="1:21" x14ac:dyDescent="0.35">
      <c r="A280" s="1">
        <v>8583815059</v>
      </c>
      <c r="B280" s="2">
        <v>42466</v>
      </c>
      <c r="C280" s="1">
        <v>2098</v>
      </c>
      <c r="D280" s="1">
        <v>1.6399999860000001</v>
      </c>
      <c r="E280" s="1">
        <v>1.6399999860000001</v>
      </c>
      <c r="F280" s="1">
        <v>0</v>
      </c>
      <c r="G280" s="1">
        <v>0</v>
      </c>
      <c r="H280" s="1">
        <v>0</v>
      </c>
      <c r="I280" s="1">
        <v>1.6299999949999999</v>
      </c>
      <c r="J280" s="1">
        <v>0</v>
      </c>
      <c r="K280" s="1">
        <v>0</v>
      </c>
      <c r="L280" s="1">
        <v>0</v>
      </c>
      <c r="M280" s="1">
        <v>112</v>
      </c>
      <c r="N280" s="1">
        <v>1328</v>
      </c>
      <c r="O280" s="1">
        <v>2354</v>
      </c>
      <c r="P280" s="1" t="s">
        <v>17</v>
      </c>
      <c r="Q280" s="2"/>
      <c r="R280" s="1"/>
      <c r="S280" s="1"/>
      <c r="T280" s="1"/>
      <c r="U280" t="str">
        <f>TEXT(Merge2[[#This Row],[ActivityDate]],"dddd")</f>
        <v>Wednesday</v>
      </c>
    </row>
    <row r="281" spans="1:21" x14ac:dyDescent="0.35">
      <c r="A281" s="1">
        <v>8792009665</v>
      </c>
      <c r="B281" s="2">
        <v>42466</v>
      </c>
      <c r="C281" s="1">
        <v>2121</v>
      </c>
      <c r="D281" s="1">
        <v>1.3600000139999999</v>
      </c>
      <c r="E281" s="1">
        <v>1.3600000139999999</v>
      </c>
      <c r="F281" s="1">
        <v>0</v>
      </c>
      <c r="G281" s="1">
        <v>0</v>
      </c>
      <c r="H281" s="1">
        <v>0</v>
      </c>
      <c r="I281" s="1">
        <v>1.3600000139999999</v>
      </c>
      <c r="J281" s="1">
        <v>0</v>
      </c>
      <c r="K281" s="1">
        <v>0</v>
      </c>
      <c r="L281" s="1">
        <v>0</v>
      </c>
      <c r="M281" s="1">
        <v>122</v>
      </c>
      <c r="N281" s="1">
        <v>855</v>
      </c>
      <c r="O281" s="1">
        <v>2114</v>
      </c>
      <c r="P281" s="1" t="s">
        <v>17</v>
      </c>
      <c r="Q281" s="2"/>
      <c r="R281" s="1"/>
      <c r="S281" s="1"/>
      <c r="T281" s="1"/>
      <c r="U281" t="str">
        <f>TEXT(Merge2[[#This Row],[ActivityDate]],"dddd")</f>
        <v>Wednesday</v>
      </c>
    </row>
    <row r="282" spans="1:21" x14ac:dyDescent="0.35">
      <c r="A282" s="1">
        <v>8877689391</v>
      </c>
      <c r="B282" s="2">
        <v>42466</v>
      </c>
      <c r="C282" s="1">
        <v>24136</v>
      </c>
      <c r="D282" s="1">
        <v>20.909999849999998</v>
      </c>
      <c r="E282" s="1">
        <v>20.909999849999998</v>
      </c>
      <c r="F282" s="1">
        <v>0</v>
      </c>
      <c r="G282" s="1">
        <v>12.22000027</v>
      </c>
      <c r="H282" s="1">
        <v>0.540000021</v>
      </c>
      <c r="I282" s="1">
        <v>8.0799999239999991</v>
      </c>
      <c r="J282" s="1">
        <v>0</v>
      </c>
      <c r="K282" s="1">
        <v>87</v>
      </c>
      <c r="L282" s="1">
        <v>16</v>
      </c>
      <c r="M282" s="1">
        <v>318</v>
      </c>
      <c r="N282" s="1">
        <v>1019</v>
      </c>
      <c r="O282" s="1">
        <v>4039</v>
      </c>
      <c r="P282" s="1" t="s">
        <v>16</v>
      </c>
      <c r="Q282" s="2"/>
      <c r="R282" s="1"/>
      <c r="S282" s="1"/>
      <c r="T282" s="1"/>
      <c r="U282" t="str">
        <f>TEXT(Merge2[[#This Row],[ActivityDate]],"dddd")</f>
        <v>Wednesday</v>
      </c>
    </row>
    <row r="283" spans="1:21" x14ac:dyDescent="0.35">
      <c r="A283" s="1">
        <v>1503960366</v>
      </c>
      <c r="B283" s="2">
        <v>42467</v>
      </c>
      <c r="C283" s="1">
        <v>10198</v>
      </c>
      <c r="D283" s="1">
        <v>6.4400000569999998</v>
      </c>
      <c r="E283" s="1">
        <v>6.4400000569999998</v>
      </c>
      <c r="F283" s="1">
        <v>0</v>
      </c>
      <c r="G283" s="1">
        <v>1.2000000479999999</v>
      </c>
      <c r="H283" s="1">
        <v>0.790000021</v>
      </c>
      <c r="I283" s="1">
        <v>4.4499998090000004</v>
      </c>
      <c r="J283" s="1">
        <v>0</v>
      </c>
      <c r="K283" s="1">
        <v>17</v>
      </c>
      <c r="L283" s="1">
        <v>20</v>
      </c>
      <c r="M283" s="1">
        <v>195</v>
      </c>
      <c r="N283" s="1">
        <v>1208</v>
      </c>
      <c r="O283" s="1">
        <v>1755</v>
      </c>
      <c r="P283" s="1" t="s">
        <v>16</v>
      </c>
      <c r="Q283" s="2"/>
      <c r="R283" s="1"/>
      <c r="S283" s="1"/>
      <c r="T283" s="1"/>
      <c r="U283" t="str">
        <f>TEXT(Merge2[[#This Row],[ActivityDate]],"dddd")</f>
        <v>Thursday</v>
      </c>
    </row>
    <row r="284" spans="1:21" x14ac:dyDescent="0.35">
      <c r="A284" s="1">
        <v>1624580081</v>
      </c>
      <c r="B284" s="2">
        <v>42467</v>
      </c>
      <c r="C284" s="1">
        <v>1111</v>
      </c>
      <c r="D284" s="1">
        <v>0.72000002900000004</v>
      </c>
      <c r="E284" s="1">
        <v>0.72000002900000004</v>
      </c>
      <c r="F284" s="1">
        <v>0</v>
      </c>
      <c r="G284" s="1">
        <v>0</v>
      </c>
      <c r="H284" s="1">
        <v>0</v>
      </c>
      <c r="I284" s="1">
        <v>0.72000002900000004</v>
      </c>
      <c r="J284" s="1">
        <v>0</v>
      </c>
      <c r="K284" s="1">
        <v>0</v>
      </c>
      <c r="L284" s="1">
        <v>0</v>
      </c>
      <c r="M284" s="1">
        <v>54</v>
      </c>
      <c r="N284" s="1">
        <v>1386</v>
      </c>
      <c r="O284" s="1">
        <v>1278</v>
      </c>
      <c r="P284" s="1" t="s">
        <v>17</v>
      </c>
      <c r="Q284" s="2"/>
      <c r="R284" s="1"/>
      <c r="S284" s="1"/>
      <c r="T284" s="1"/>
      <c r="U284" t="str">
        <f>TEXT(Merge2[[#This Row],[ActivityDate]],"dddd")</f>
        <v>Thursday</v>
      </c>
    </row>
    <row r="285" spans="1:21" x14ac:dyDescent="0.35">
      <c r="A285" s="1">
        <v>1644430081</v>
      </c>
      <c r="B285" s="2">
        <v>42467</v>
      </c>
      <c r="C285" s="1">
        <v>11166</v>
      </c>
      <c r="D285" s="1">
        <v>8.1199998860000004</v>
      </c>
      <c r="E285" s="1">
        <v>8.1199998860000004</v>
      </c>
      <c r="F285" s="1">
        <v>0</v>
      </c>
      <c r="G285" s="1">
        <v>0.209999993</v>
      </c>
      <c r="H285" s="1">
        <v>2.4100000860000002</v>
      </c>
      <c r="I285" s="1">
        <v>5.5</v>
      </c>
      <c r="J285" s="1">
        <v>0</v>
      </c>
      <c r="K285" s="1">
        <v>3</v>
      </c>
      <c r="L285" s="1">
        <v>58</v>
      </c>
      <c r="M285" s="1">
        <v>230</v>
      </c>
      <c r="N285" s="1">
        <v>1149</v>
      </c>
      <c r="O285" s="1">
        <v>3202</v>
      </c>
      <c r="P285" s="1" t="s">
        <v>16</v>
      </c>
      <c r="Q285" s="2"/>
      <c r="R285" s="1"/>
      <c r="S285" s="1"/>
      <c r="T285" s="1"/>
      <c r="U285" t="str">
        <f>TEXT(Merge2[[#This Row],[ActivityDate]],"dddd")</f>
        <v>Thursday</v>
      </c>
    </row>
    <row r="286" spans="1:21" x14ac:dyDescent="0.35">
      <c r="A286" s="1">
        <v>1844505072</v>
      </c>
      <c r="B286" s="2">
        <v>42467</v>
      </c>
      <c r="C286" s="1">
        <v>6344</v>
      </c>
      <c r="D286" s="1">
        <v>4.1900000569999998</v>
      </c>
      <c r="E286" s="1">
        <v>4.1900000569999998</v>
      </c>
      <c r="F286" s="1">
        <v>0</v>
      </c>
      <c r="G286" s="1">
        <v>0</v>
      </c>
      <c r="H286" s="1">
        <v>0</v>
      </c>
      <c r="I286" s="1">
        <v>4.1900000569999998</v>
      </c>
      <c r="J286" s="1">
        <v>0</v>
      </c>
      <c r="K286" s="1">
        <v>0</v>
      </c>
      <c r="L286" s="1">
        <v>0</v>
      </c>
      <c r="M286" s="1">
        <v>290</v>
      </c>
      <c r="N286" s="1">
        <v>1150</v>
      </c>
      <c r="O286" s="1">
        <v>1965</v>
      </c>
      <c r="P286" s="1" t="s">
        <v>19</v>
      </c>
      <c r="Q286" s="2"/>
      <c r="R286" s="1"/>
      <c r="S286" s="1"/>
      <c r="T286" s="1"/>
      <c r="U286" t="str">
        <f>TEXT(Merge2[[#This Row],[ActivityDate]],"dddd")</f>
        <v>Thursday</v>
      </c>
    </row>
    <row r="287" spans="1:21" x14ac:dyDescent="0.35">
      <c r="A287" s="1">
        <v>1927972279</v>
      </c>
      <c r="B287" s="2">
        <v>42467</v>
      </c>
      <c r="C287" s="1">
        <v>768</v>
      </c>
      <c r="D287" s="1">
        <v>0.52999997099999996</v>
      </c>
      <c r="E287" s="1">
        <v>0.52999997099999996</v>
      </c>
      <c r="F287" s="1">
        <v>0</v>
      </c>
      <c r="G287" s="1">
        <v>0</v>
      </c>
      <c r="H287" s="1">
        <v>0</v>
      </c>
      <c r="I287" s="1">
        <v>0.52999997099999996</v>
      </c>
      <c r="J287" s="1">
        <v>0</v>
      </c>
      <c r="K287" s="1">
        <v>0</v>
      </c>
      <c r="L287" s="1">
        <v>0</v>
      </c>
      <c r="M287" s="1">
        <v>43</v>
      </c>
      <c r="N287" s="1">
        <v>1397</v>
      </c>
      <c r="O287" s="1">
        <v>2130</v>
      </c>
      <c r="P287" s="1" t="s">
        <v>17</v>
      </c>
      <c r="Q287" s="2"/>
      <c r="R287" s="1"/>
      <c r="S287" s="1"/>
      <c r="T287" s="1"/>
      <c r="U287" t="str">
        <f>TEXT(Merge2[[#This Row],[ActivityDate]],"dddd")</f>
        <v>Thursday</v>
      </c>
    </row>
    <row r="288" spans="1:21" x14ac:dyDescent="0.35">
      <c r="A288" s="1">
        <v>2022484408</v>
      </c>
      <c r="B288" s="2">
        <v>42467</v>
      </c>
      <c r="C288" s="1">
        <v>18247</v>
      </c>
      <c r="D288" s="1">
        <v>13.829999920000001</v>
      </c>
      <c r="E288" s="1">
        <v>13.829999920000001</v>
      </c>
      <c r="F288" s="1">
        <v>0</v>
      </c>
      <c r="G288" s="1">
        <v>7.1100001339999999</v>
      </c>
      <c r="H288" s="1">
        <v>2.210000038</v>
      </c>
      <c r="I288" s="1">
        <v>4.5100002290000001</v>
      </c>
      <c r="J288" s="1">
        <v>0</v>
      </c>
      <c r="K288" s="1">
        <v>72</v>
      </c>
      <c r="L288" s="1">
        <v>62</v>
      </c>
      <c r="M288" s="1">
        <v>252</v>
      </c>
      <c r="N288" s="1">
        <v>1054</v>
      </c>
      <c r="O288" s="1">
        <v>3021</v>
      </c>
      <c r="P288" s="1" t="s">
        <v>16</v>
      </c>
      <c r="Q288" s="2"/>
      <c r="R288" s="1"/>
      <c r="S288" s="1"/>
      <c r="T288" s="1"/>
      <c r="U288" t="str">
        <f>TEXT(Merge2[[#This Row],[ActivityDate]],"dddd")</f>
        <v>Thursday</v>
      </c>
    </row>
    <row r="289" spans="1:21" x14ac:dyDescent="0.35">
      <c r="A289" s="1">
        <v>2026352035</v>
      </c>
      <c r="B289" s="2">
        <v>42467</v>
      </c>
      <c r="C289" s="1">
        <v>2767</v>
      </c>
      <c r="D289" s="1">
        <v>1.7200000289999999</v>
      </c>
      <c r="E289" s="1">
        <v>1.7200000289999999</v>
      </c>
      <c r="F289" s="1">
        <v>0</v>
      </c>
      <c r="G289" s="1">
        <v>0</v>
      </c>
      <c r="H289" s="1">
        <v>0</v>
      </c>
      <c r="I289" s="1">
        <v>1.7200000289999999</v>
      </c>
      <c r="J289" s="1">
        <v>0</v>
      </c>
      <c r="K289" s="1">
        <v>0</v>
      </c>
      <c r="L289" s="1">
        <v>0</v>
      </c>
      <c r="M289" s="1">
        <v>170</v>
      </c>
      <c r="N289" s="1">
        <v>673</v>
      </c>
      <c r="O289" s="1">
        <v>1392</v>
      </c>
      <c r="P289" s="1" t="s">
        <v>17</v>
      </c>
      <c r="Q289" s="2"/>
      <c r="R289" s="1"/>
      <c r="S289" s="1"/>
      <c r="T289" s="1"/>
      <c r="U289" t="str">
        <f>TEXT(Merge2[[#This Row],[ActivityDate]],"dddd")</f>
        <v>Thursday</v>
      </c>
    </row>
    <row r="290" spans="1:21" x14ac:dyDescent="0.35">
      <c r="A290" s="1">
        <v>2320127002</v>
      </c>
      <c r="B290" s="2">
        <v>42467</v>
      </c>
      <c r="C290" s="1">
        <v>1846</v>
      </c>
      <c r="D290" s="1">
        <v>1.2400000099999999</v>
      </c>
      <c r="E290" s="1">
        <v>1.2400000099999999</v>
      </c>
      <c r="F290" s="1">
        <v>0</v>
      </c>
      <c r="G290" s="1">
        <v>0</v>
      </c>
      <c r="H290" s="1">
        <v>0</v>
      </c>
      <c r="I290" s="1">
        <v>1.2400000099999999</v>
      </c>
      <c r="J290" s="1">
        <v>0</v>
      </c>
      <c r="K290" s="1">
        <v>0</v>
      </c>
      <c r="L290" s="1">
        <v>0</v>
      </c>
      <c r="M290" s="1">
        <v>93</v>
      </c>
      <c r="N290" s="1">
        <v>1347</v>
      </c>
      <c r="O290" s="1">
        <v>1508</v>
      </c>
      <c r="P290" s="1" t="s">
        <v>17</v>
      </c>
      <c r="Q290" s="2"/>
      <c r="R290" s="1"/>
      <c r="S290" s="1"/>
      <c r="T290" s="1"/>
      <c r="U290" t="str">
        <f>TEXT(Merge2[[#This Row],[ActivityDate]],"dddd")</f>
        <v>Thursday</v>
      </c>
    </row>
    <row r="291" spans="1:21" x14ac:dyDescent="0.35">
      <c r="A291" s="1">
        <v>2347167796</v>
      </c>
      <c r="B291" s="2">
        <v>42467</v>
      </c>
      <c r="C291" s="1">
        <v>10320</v>
      </c>
      <c r="D291" s="1">
        <v>6.8499999049999998</v>
      </c>
      <c r="E291" s="1">
        <v>6.8499999049999998</v>
      </c>
      <c r="F291" s="1">
        <v>0</v>
      </c>
      <c r="G291" s="1">
        <v>0.68000000699999996</v>
      </c>
      <c r="H291" s="1">
        <v>1.230000019</v>
      </c>
      <c r="I291" s="1">
        <v>4.9400000569999998</v>
      </c>
      <c r="J291" s="1">
        <v>0</v>
      </c>
      <c r="K291" s="1">
        <v>15</v>
      </c>
      <c r="L291" s="1">
        <v>32</v>
      </c>
      <c r="M291" s="1">
        <v>315</v>
      </c>
      <c r="N291" s="1">
        <v>1002</v>
      </c>
      <c r="O291" s="1">
        <v>2338</v>
      </c>
      <c r="P291" s="1" t="s">
        <v>16</v>
      </c>
      <c r="Q291" s="2"/>
      <c r="R291" s="1"/>
      <c r="S291" s="1"/>
      <c r="T291" s="1"/>
      <c r="U291" t="str">
        <f>TEXT(Merge2[[#This Row],[ActivityDate]],"dddd")</f>
        <v>Thursday</v>
      </c>
    </row>
    <row r="292" spans="1:21" x14ac:dyDescent="0.35">
      <c r="A292" s="1">
        <v>2873212765</v>
      </c>
      <c r="B292" s="2">
        <v>42467</v>
      </c>
      <c r="C292" s="1">
        <v>9353</v>
      </c>
      <c r="D292" s="1">
        <v>6.3099999430000002</v>
      </c>
      <c r="E292" s="1">
        <v>6.3099999430000002</v>
      </c>
      <c r="F292" s="1">
        <v>0</v>
      </c>
      <c r="G292" s="1">
        <v>0.37000000500000002</v>
      </c>
      <c r="H292" s="1">
        <v>0.689999998</v>
      </c>
      <c r="I292" s="1">
        <v>5.2399997709999999</v>
      </c>
      <c r="J292" s="1">
        <v>0</v>
      </c>
      <c r="K292" s="1">
        <v>5</v>
      </c>
      <c r="L292" s="1">
        <v>17</v>
      </c>
      <c r="M292" s="1">
        <v>363</v>
      </c>
      <c r="N292" s="1">
        <v>1055</v>
      </c>
      <c r="O292" s="1">
        <v>2035</v>
      </c>
      <c r="P292" s="1" t="s">
        <v>18</v>
      </c>
      <c r="Q292" s="2"/>
      <c r="R292" s="1"/>
      <c r="S292" s="1"/>
      <c r="T292" s="1"/>
      <c r="U292" t="str">
        <f>TEXT(Merge2[[#This Row],[ActivityDate]],"dddd")</f>
        <v>Thursday</v>
      </c>
    </row>
    <row r="293" spans="1:21" x14ac:dyDescent="0.35">
      <c r="A293" s="1">
        <v>3372868164</v>
      </c>
      <c r="B293" s="2">
        <v>42467</v>
      </c>
      <c r="C293" s="1">
        <v>7392</v>
      </c>
      <c r="D293" s="1">
        <v>5.0999999049999998</v>
      </c>
      <c r="E293" s="1">
        <v>5.0999999049999998</v>
      </c>
      <c r="F293" s="1">
        <v>0</v>
      </c>
      <c r="G293" s="1">
        <v>0.87000000499999997</v>
      </c>
      <c r="H293" s="1">
        <v>0.15999999600000001</v>
      </c>
      <c r="I293" s="1">
        <v>4.0500001909999996</v>
      </c>
      <c r="J293" s="1">
        <v>0.02</v>
      </c>
      <c r="K293" s="1">
        <v>14</v>
      </c>
      <c r="L293" s="1">
        <v>9</v>
      </c>
      <c r="M293" s="1">
        <v>332</v>
      </c>
      <c r="N293" s="1">
        <v>1085</v>
      </c>
      <c r="O293" s="1">
        <v>2038</v>
      </c>
      <c r="P293" s="1" t="s">
        <v>19</v>
      </c>
      <c r="Q293" s="2"/>
      <c r="R293" s="1"/>
      <c r="S293" s="1"/>
      <c r="T293" s="1"/>
      <c r="U293" t="str">
        <f>TEXT(Merge2[[#This Row],[ActivityDate]],"dddd")</f>
        <v>Thursday</v>
      </c>
    </row>
    <row r="294" spans="1:21" x14ac:dyDescent="0.35">
      <c r="A294" s="1">
        <v>3977333714</v>
      </c>
      <c r="B294" s="2">
        <v>42467</v>
      </c>
      <c r="C294" s="1">
        <v>8422</v>
      </c>
      <c r="D294" s="1">
        <v>5.6300001139999996</v>
      </c>
      <c r="E294" s="1">
        <v>5.6300001139999996</v>
      </c>
      <c r="F294" s="1">
        <v>0</v>
      </c>
      <c r="G294" s="1">
        <v>0</v>
      </c>
      <c r="H294" s="1">
        <v>3.5999999049999998</v>
      </c>
      <c r="I294" s="1">
        <v>2.039999962</v>
      </c>
      <c r="J294" s="1">
        <v>0</v>
      </c>
      <c r="K294" s="1">
        <v>0</v>
      </c>
      <c r="L294" s="1">
        <v>81</v>
      </c>
      <c r="M294" s="1">
        <v>139</v>
      </c>
      <c r="N294" s="1">
        <v>815</v>
      </c>
      <c r="O294" s="1">
        <v>1431</v>
      </c>
      <c r="P294" s="1" t="s">
        <v>18</v>
      </c>
      <c r="Q294" s="2"/>
      <c r="R294" s="1"/>
      <c r="S294" s="1"/>
      <c r="T294" s="1"/>
      <c r="U294" t="str">
        <f>TEXT(Merge2[[#This Row],[ActivityDate]],"dddd")</f>
        <v>Thursday</v>
      </c>
    </row>
    <row r="295" spans="1:21" x14ac:dyDescent="0.35">
      <c r="A295" s="1">
        <v>4020332650</v>
      </c>
      <c r="B295" s="2">
        <v>42467</v>
      </c>
      <c r="C295" s="1">
        <v>6581</v>
      </c>
      <c r="D295" s="1">
        <v>4.7199997900000001</v>
      </c>
      <c r="E295" s="1">
        <v>4.7199997900000001</v>
      </c>
      <c r="F295" s="1">
        <v>0</v>
      </c>
      <c r="G295" s="1">
        <v>0</v>
      </c>
      <c r="H295" s="1">
        <v>0.28999999199999998</v>
      </c>
      <c r="I295" s="1">
        <v>4.3899998660000001</v>
      </c>
      <c r="J295" s="1">
        <v>0</v>
      </c>
      <c r="K295" s="1">
        <v>0</v>
      </c>
      <c r="L295" s="1">
        <v>8</v>
      </c>
      <c r="M295" s="1">
        <v>241</v>
      </c>
      <c r="N295" s="1">
        <v>1191</v>
      </c>
      <c r="O295" s="1">
        <v>3032</v>
      </c>
      <c r="P295" s="1" t="s">
        <v>19</v>
      </c>
      <c r="Q295" s="2"/>
      <c r="R295" s="1"/>
      <c r="S295" s="1"/>
      <c r="T295" s="1"/>
      <c r="U295" t="str">
        <f>TEXT(Merge2[[#This Row],[ActivityDate]],"dddd")</f>
        <v>Thursday</v>
      </c>
    </row>
    <row r="296" spans="1:21" x14ac:dyDescent="0.35">
      <c r="A296" s="1">
        <v>4057192912</v>
      </c>
      <c r="B296" s="2">
        <v>42467</v>
      </c>
      <c r="C296" s="1">
        <v>4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1</v>
      </c>
      <c r="N296" s="1">
        <v>1439</v>
      </c>
      <c r="O296" s="1">
        <v>1778</v>
      </c>
      <c r="P296" s="1" t="s">
        <v>17</v>
      </c>
      <c r="Q296" s="2"/>
      <c r="R296" s="1"/>
      <c r="S296" s="1"/>
      <c r="T296" s="1"/>
      <c r="U296" t="str">
        <f>TEXT(Merge2[[#This Row],[ActivityDate]],"dddd")</f>
        <v>Thursday</v>
      </c>
    </row>
    <row r="297" spans="1:21" x14ac:dyDescent="0.35">
      <c r="A297" s="1">
        <v>4319703577</v>
      </c>
      <c r="B297" s="2">
        <v>42467</v>
      </c>
      <c r="C297" s="1">
        <v>9130</v>
      </c>
      <c r="D297" s="1">
        <v>6.1500000950000002</v>
      </c>
      <c r="E297" s="1">
        <v>6.1500000950000002</v>
      </c>
      <c r="F297" s="1">
        <v>0</v>
      </c>
      <c r="G297" s="1">
        <v>0.5</v>
      </c>
      <c r="H297" s="1">
        <v>0.37999999499999998</v>
      </c>
      <c r="I297" s="1">
        <v>5.2699999809999998</v>
      </c>
      <c r="J297" s="1">
        <v>0</v>
      </c>
      <c r="K297" s="1">
        <v>7</v>
      </c>
      <c r="L297" s="1">
        <v>11</v>
      </c>
      <c r="M297" s="1">
        <v>304</v>
      </c>
      <c r="N297" s="1">
        <v>668</v>
      </c>
      <c r="O297" s="1">
        <v>2236</v>
      </c>
      <c r="P297" s="1" t="s">
        <v>18</v>
      </c>
      <c r="Q297" s="2"/>
      <c r="R297" s="1"/>
      <c r="S297" s="1"/>
      <c r="T297" s="1"/>
      <c r="U297" t="str">
        <f>TEXT(Merge2[[#This Row],[ActivityDate]],"dddd")</f>
        <v>Thursday</v>
      </c>
    </row>
    <row r="298" spans="1:21" x14ac:dyDescent="0.35">
      <c r="A298" s="1">
        <v>4445114986</v>
      </c>
      <c r="B298" s="2">
        <v>42467</v>
      </c>
      <c r="C298" s="1">
        <v>6667</v>
      </c>
      <c r="D298" s="1">
        <v>4.6100001339999999</v>
      </c>
      <c r="E298" s="1">
        <v>4.6100001339999999</v>
      </c>
      <c r="F298" s="1">
        <v>0</v>
      </c>
      <c r="G298" s="1">
        <v>2.0199999809999998</v>
      </c>
      <c r="H298" s="1">
        <v>5.0000001000000002E-2</v>
      </c>
      <c r="I298" s="1">
        <v>2.5499999519999998</v>
      </c>
      <c r="J298" s="1">
        <v>0</v>
      </c>
      <c r="K298" s="1">
        <v>24</v>
      </c>
      <c r="L298" s="1">
        <v>1</v>
      </c>
      <c r="M298" s="1">
        <v>208</v>
      </c>
      <c r="N298" s="1">
        <v>939</v>
      </c>
      <c r="O298" s="1">
        <v>2335</v>
      </c>
      <c r="P298" s="1" t="s">
        <v>19</v>
      </c>
      <c r="Q298" s="2"/>
      <c r="R298" s="1"/>
      <c r="S298" s="1"/>
      <c r="T298" s="1"/>
      <c r="U298" t="str">
        <f>TEXT(Merge2[[#This Row],[ActivityDate]],"dddd")</f>
        <v>Thursday</v>
      </c>
    </row>
    <row r="299" spans="1:21" x14ac:dyDescent="0.35">
      <c r="A299" s="1">
        <v>4558609924</v>
      </c>
      <c r="B299" s="2">
        <v>42467</v>
      </c>
      <c r="C299" s="1">
        <v>7998</v>
      </c>
      <c r="D299" s="1">
        <v>5.2899999619999996</v>
      </c>
      <c r="E299" s="1">
        <v>5.2899999619999996</v>
      </c>
      <c r="F299" s="1">
        <v>0</v>
      </c>
      <c r="G299" s="1">
        <v>0.50999998999999996</v>
      </c>
      <c r="H299" s="1">
        <v>0.25</v>
      </c>
      <c r="I299" s="1">
        <v>4.5300002099999999</v>
      </c>
      <c r="J299" s="1">
        <v>0</v>
      </c>
      <c r="K299" s="1">
        <v>27</v>
      </c>
      <c r="L299" s="1">
        <v>12</v>
      </c>
      <c r="M299" s="1">
        <v>296</v>
      </c>
      <c r="N299" s="1">
        <v>1105</v>
      </c>
      <c r="O299" s="1">
        <v>2235</v>
      </c>
      <c r="P299" s="1" t="s">
        <v>18</v>
      </c>
      <c r="Q299" s="2"/>
      <c r="R299" s="1"/>
      <c r="S299" s="1"/>
      <c r="T299" s="1"/>
      <c r="U299" t="str">
        <f>TEXT(Merge2[[#This Row],[ActivityDate]],"dddd")</f>
        <v>Thursday</v>
      </c>
    </row>
    <row r="300" spans="1:21" x14ac:dyDescent="0.35">
      <c r="A300" s="1">
        <v>4702921684</v>
      </c>
      <c r="B300" s="2">
        <v>42467</v>
      </c>
      <c r="C300" s="1">
        <v>6585</v>
      </c>
      <c r="D300" s="1">
        <v>5.3400001530000001</v>
      </c>
      <c r="E300" s="1">
        <v>5.3400001530000001</v>
      </c>
      <c r="F300" s="1">
        <v>0</v>
      </c>
      <c r="G300" s="1">
        <v>0</v>
      </c>
      <c r="H300" s="1">
        <v>0</v>
      </c>
      <c r="I300" s="1">
        <v>5.3400001530000001</v>
      </c>
      <c r="J300" s="1">
        <v>0</v>
      </c>
      <c r="K300" s="1">
        <v>0</v>
      </c>
      <c r="L300" s="1">
        <v>0</v>
      </c>
      <c r="M300" s="1">
        <v>210</v>
      </c>
      <c r="N300" s="1">
        <v>770</v>
      </c>
      <c r="O300" s="1">
        <v>2822</v>
      </c>
      <c r="P300" s="1" t="s">
        <v>19</v>
      </c>
      <c r="Q300" s="2"/>
      <c r="R300" s="1"/>
      <c r="S300" s="1"/>
      <c r="T300" s="1"/>
      <c r="U300" t="str">
        <f>TEXT(Merge2[[#This Row],[ActivityDate]],"dddd")</f>
        <v>Thursday</v>
      </c>
    </row>
    <row r="301" spans="1:21" x14ac:dyDescent="0.35">
      <c r="A301" s="1">
        <v>5553957443</v>
      </c>
      <c r="B301" s="2">
        <v>42467</v>
      </c>
      <c r="C301" s="1">
        <v>15444</v>
      </c>
      <c r="D301" s="1">
        <v>10.079999920000001</v>
      </c>
      <c r="E301" s="1">
        <v>10.079999920000001</v>
      </c>
      <c r="F301" s="1">
        <v>0</v>
      </c>
      <c r="G301" s="1">
        <v>3.2699999809999998</v>
      </c>
      <c r="H301" s="1">
        <v>1.730000019</v>
      </c>
      <c r="I301" s="1">
        <v>5.079999924</v>
      </c>
      <c r="J301" s="1">
        <v>0</v>
      </c>
      <c r="K301" s="1">
        <v>51</v>
      </c>
      <c r="L301" s="1">
        <v>39</v>
      </c>
      <c r="M301" s="1">
        <v>243</v>
      </c>
      <c r="N301" s="1">
        <v>731</v>
      </c>
      <c r="O301" s="1">
        <v>2249</v>
      </c>
      <c r="P301" s="1" t="s">
        <v>16</v>
      </c>
      <c r="Q301" s="2"/>
      <c r="R301" s="1"/>
      <c r="S301" s="1"/>
      <c r="T301" s="1"/>
      <c r="U301" t="str">
        <f>TEXT(Merge2[[#This Row],[ActivityDate]],"dddd")</f>
        <v>Thursday</v>
      </c>
    </row>
    <row r="302" spans="1:21" x14ac:dyDescent="0.35">
      <c r="A302" s="1">
        <v>5577150313</v>
      </c>
      <c r="B302" s="2">
        <v>42467</v>
      </c>
      <c r="C302" s="1">
        <v>4499</v>
      </c>
      <c r="D302" s="1">
        <v>3.3599998950000001</v>
      </c>
      <c r="E302" s="1">
        <v>3.3599998950000001</v>
      </c>
      <c r="F302" s="1">
        <v>0</v>
      </c>
      <c r="G302" s="1">
        <v>0.88999998599999997</v>
      </c>
      <c r="H302" s="1">
        <v>0.25999999000000001</v>
      </c>
      <c r="I302" s="1">
        <v>2.210000038</v>
      </c>
      <c r="J302" s="1">
        <v>0</v>
      </c>
      <c r="K302" s="1">
        <v>31</v>
      </c>
      <c r="L302" s="1">
        <v>11</v>
      </c>
      <c r="M302" s="1">
        <v>146</v>
      </c>
      <c r="N302" s="1">
        <v>756</v>
      </c>
      <c r="O302" s="1">
        <v>2775</v>
      </c>
      <c r="P302" s="1" t="s">
        <v>17</v>
      </c>
      <c r="Q302" s="2"/>
      <c r="R302" s="1"/>
      <c r="S302" s="1"/>
      <c r="T302" s="1"/>
      <c r="U302" t="str">
        <f>TEXT(Merge2[[#This Row],[ActivityDate]],"dddd")</f>
        <v>Thursday</v>
      </c>
    </row>
    <row r="303" spans="1:21" x14ac:dyDescent="0.35">
      <c r="A303" s="1">
        <v>6117666160</v>
      </c>
      <c r="B303" s="2">
        <v>42467</v>
      </c>
      <c r="C303" s="1">
        <v>4853</v>
      </c>
      <c r="D303" s="1">
        <v>3.6600000860000002</v>
      </c>
      <c r="E303" s="1">
        <v>3.6600000860000002</v>
      </c>
      <c r="F303" s="1">
        <v>0</v>
      </c>
      <c r="G303" s="1">
        <v>0</v>
      </c>
      <c r="H303" s="1">
        <v>0</v>
      </c>
      <c r="I303" s="1">
        <v>3.6600000860000002</v>
      </c>
      <c r="J303" s="1">
        <v>0</v>
      </c>
      <c r="K303" s="1">
        <v>0</v>
      </c>
      <c r="L303" s="1">
        <v>0</v>
      </c>
      <c r="M303" s="1">
        <v>156</v>
      </c>
      <c r="N303" s="1">
        <v>770</v>
      </c>
      <c r="O303" s="1">
        <v>1903</v>
      </c>
      <c r="P303" s="1" t="s">
        <v>17</v>
      </c>
      <c r="Q303" s="2"/>
      <c r="R303" s="1"/>
      <c r="S303" s="1"/>
      <c r="T303" s="1"/>
      <c r="U303" t="str">
        <f>TEXT(Merge2[[#This Row],[ActivityDate]],"dddd")</f>
        <v>Thursday</v>
      </c>
    </row>
    <row r="304" spans="1:21" x14ac:dyDescent="0.35">
      <c r="A304" s="1">
        <v>6290855005</v>
      </c>
      <c r="B304" s="2">
        <v>42467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1440</v>
      </c>
      <c r="O304" s="1">
        <v>2060</v>
      </c>
      <c r="P304" s="1" t="s">
        <v>17</v>
      </c>
      <c r="Q304" s="2"/>
      <c r="R304" s="1"/>
      <c r="S304" s="1"/>
      <c r="T304" s="1"/>
      <c r="U304" t="str">
        <f>TEXT(Merge2[[#This Row],[ActivityDate]],"dddd")</f>
        <v>Thursday</v>
      </c>
    </row>
    <row r="305" spans="1:21" x14ac:dyDescent="0.35">
      <c r="A305" s="1">
        <v>6391747486</v>
      </c>
      <c r="B305" s="2">
        <v>42467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1440</v>
      </c>
      <c r="O305" s="1">
        <v>1822</v>
      </c>
      <c r="P305" s="1" t="s">
        <v>17</v>
      </c>
      <c r="Q305" s="2"/>
      <c r="R305" s="1"/>
      <c r="S305" s="1"/>
      <c r="T305" s="1"/>
      <c r="U305" t="str">
        <f>TEXT(Merge2[[#This Row],[ActivityDate]],"dddd")</f>
        <v>Thursday</v>
      </c>
    </row>
    <row r="306" spans="1:21" x14ac:dyDescent="0.35">
      <c r="A306" s="1">
        <v>6775888955</v>
      </c>
      <c r="B306" s="2">
        <v>42467</v>
      </c>
      <c r="C306" s="1">
        <v>13987</v>
      </c>
      <c r="D306" s="1">
        <v>10.02999973</v>
      </c>
      <c r="E306" s="1">
        <v>10.02999973</v>
      </c>
      <c r="F306" s="1">
        <v>0</v>
      </c>
      <c r="G306" s="1">
        <v>2.869999886</v>
      </c>
      <c r="H306" s="1">
        <v>3.3399999139999998</v>
      </c>
      <c r="I306" s="1">
        <v>3.8199999330000001</v>
      </c>
      <c r="J306" s="1">
        <v>0</v>
      </c>
      <c r="K306" s="1">
        <v>46</v>
      </c>
      <c r="L306" s="1">
        <v>114</v>
      </c>
      <c r="M306" s="1">
        <v>250</v>
      </c>
      <c r="N306" s="1">
        <v>739</v>
      </c>
      <c r="O306" s="1">
        <v>3856</v>
      </c>
      <c r="P306" s="1" t="s">
        <v>16</v>
      </c>
      <c r="Q306" s="2"/>
      <c r="R306" s="1"/>
      <c r="S306" s="1"/>
      <c r="T306" s="1"/>
      <c r="U306" t="str">
        <f>TEXT(Merge2[[#This Row],[ActivityDate]],"dddd")</f>
        <v>Thursday</v>
      </c>
    </row>
    <row r="307" spans="1:21" x14ac:dyDescent="0.35">
      <c r="A307" s="1">
        <v>6962181067</v>
      </c>
      <c r="B307" s="2">
        <v>42467</v>
      </c>
      <c r="C307" s="1">
        <v>13417</v>
      </c>
      <c r="D307" s="1">
        <v>9.6499996190000008</v>
      </c>
      <c r="E307" s="1">
        <v>8.8699998860000004</v>
      </c>
      <c r="F307" s="1">
        <v>1.9263019560000001</v>
      </c>
      <c r="G307" s="1">
        <v>3.3900001049999999</v>
      </c>
      <c r="H307" s="1">
        <v>1.25</v>
      </c>
      <c r="I307" s="1">
        <v>4.9099998469999999</v>
      </c>
      <c r="J307" s="1">
        <v>0.10000000100000001</v>
      </c>
      <c r="K307" s="1">
        <v>45</v>
      </c>
      <c r="L307" s="1">
        <v>16</v>
      </c>
      <c r="M307" s="1">
        <v>284</v>
      </c>
      <c r="N307" s="1">
        <v>665</v>
      </c>
      <c r="O307" s="1">
        <v>2244</v>
      </c>
      <c r="P307" s="1" t="s">
        <v>16</v>
      </c>
      <c r="Q307" s="2"/>
      <c r="R307" s="1"/>
      <c r="S307" s="1"/>
      <c r="T307" s="1"/>
      <c r="U307" t="str">
        <f>TEXT(Merge2[[#This Row],[ActivityDate]],"dddd")</f>
        <v>Thursday</v>
      </c>
    </row>
    <row r="308" spans="1:21" x14ac:dyDescent="0.35">
      <c r="A308" s="1">
        <v>7007744171</v>
      </c>
      <c r="B308" s="2">
        <v>42467</v>
      </c>
      <c r="C308" s="1">
        <v>14100</v>
      </c>
      <c r="D308" s="1">
        <v>10.579999920000001</v>
      </c>
      <c r="E308" s="1">
        <v>9.4300003050000001</v>
      </c>
      <c r="F308" s="1">
        <v>4.8759899139999998</v>
      </c>
      <c r="G308" s="1">
        <v>5.0999999049999998</v>
      </c>
      <c r="H308" s="1">
        <v>1.190000057</v>
      </c>
      <c r="I308" s="1">
        <v>4.2800002099999999</v>
      </c>
      <c r="J308" s="1">
        <v>0</v>
      </c>
      <c r="K308" s="1">
        <v>61</v>
      </c>
      <c r="L308" s="1">
        <v>33</v>
      </c>
      <c r="M308" s="1">
        <v>265</v>
      </c>
      <c r="N308" s="1">
        <v>1015</v>
      </c>
      <c r="O308" s="1">
        <v>2840</v>
      </c>
      <c r="P308" s="1" t="s">
        <v>16</v>
      </c>
      <c r="Q308" s="2"/>
      <c r="R308" s="1"/>
      <c r="S308" s="1"/>
      <c r="T308" s="1"/>
      <c r="U308" t="str">
        <f>TEXT(Merge2[[#This Row],[ActivityDate]],"dddd")</f>
        <v>Thursday</v>
      </c>
    </row>
    <row r="309" spans="1:21" x14ac:dyDescent="0.35">
      <c r="A309" s="1">
        <v>7086361926</v>
      </c>
      <c r="B309" s="2">
        <v>42467</v>
      </c>
      <c r="C309" s="1">
        <v>14604</v>
      </c>
      <c r="D309" s="1">
        <v>10.81999969</v>
      </c>
      <c r="E309" s="1">
        <v>10.81999969</v>
      </c>
      <c r="F309" s="1">
        <v>0</v>
      </c>
      <c r="G309" s="1">
        <v>7.2300000190000002</v>
      </c>
      <c r="H309" s="1">
        <v>1.1200000050000001</v>
      </c>
      <c r="I309" s="1">
        <v>2.4300000669999999</v>
      </c>
      <c r="J309" s="1">
        <v>2.9999998999999999E-2</v>
      </c>
      <c r="K309" s="1">
        <v>76</v>
      </c>
      <c r="L309" s="1">
        <v>30</v>
      </c>
      <c r="M309" s="1">
        <v>127</v>
      </c>
      <c r="N309" s="1">
        <v>695</v>
      </c>
      <c r="O309" s="1">
        <v>2862</v>
      </c>
      <c r="P309" s="1" t="s">
        <v>16</v>
      </c>
      <c r="Q309" s="2"/>
      <c r="R309" s="1"/>
      <c r="S309" s="1"/>
      <c r="T309" s="1"/>
      <c r="U309" t="str">
        <f>TEXT(Merge2[[#This Row],[ActivityDate]],"dddd")</f>
        <v>Thursday</v>
      </c>
    </row>
    <row r="310" spans="1:21" x14ac:dyDescent="0.35">
      <c r="A310" s="1">
        <v>8053475328</v>
      </c>
      <c r="B310" s="2">
        <v>42467</v>
      </c>
      <c r="C310" s="1">
        <v>17078</v>
      </c>
      <c r="D310" s="1">
        <v>13.19999981</v>
      </c>
      <c r="E310" s="1">
        <v>13.19999981</v>
      </c>
      <c r="F310" s="1">
        <v>0</v>
      </c>
      <c r="G310" s="1">
        <v>9.9700002669999996</v>
      </c>
      <c r="H310" s="1">
        <v>0.23999999499999999</v>
      </c>
      <c r="I310" s="1">
        <v>2.9900000100000002</v>
      </c>
      <c r="J310" s="1">
        <v>0</v>
      </c>
      <c r="K310" s="1">
        <v>101</v>
      </c>
      <c r="L310" s="1">
        <v>6</v>
      </c>
      <c r="M310" s="1">
        <v>190</v>
      </c>
      <c r="N310" s="1">
        <v>1143</v>
      </c>
      <c r="O310" s="1">
        <v>3176</v>
      </c>
      <c r="P310" s="1" t="s">
        <v>16</v>
      </c>
      <c r="Q310" s="2"/>
      <c r="R310" s="1"/>
      <c r="S310" s="1"/>
      <c r="T310" s="1"/>
      <c r="U310" t="str">
        <f>TEXT(Merge2[[#This Row],[ActivityDate]],"dddd")</f>
        <v>Thursday</v>
      </c>
    </row>
    <row r="311" spans="1:21" x14ac:dyDescent="0.35">
      <c r="A311" s="1">
        <v>8253242879</v>
      </c>
      <c r="B311" s="2">
        <v>42467</v>
      </c>
      <c r="C311" s="1">
        <v>5181</v>
      </c>
      <c r="D311" s="1">
        <v>3.420000076</v>
      </c>
      <c r="E311" s="1">
        <v>3.420000076</v>
      </c>
      <c r="F311" s="1">
        <v>0</v>
      </c>
      <c r="G311" s="1">
        <v>1</v>
      </c>
      <c r="H311" s="1">
        <v>0.91000002599999996</v>
      </c>
      <c r="I311" s="1">
        <v>1.5099999900000001</v>
      </c>
      <c r="J311" s="1">
        <v>0.01</v>
      </c>
      <c r="K311" s="1">
        <v>15</v>
      </c>
      <c r="L311" s="1">
        <v>15</v>
      </c>
      <c r="M311" s="1">
        <v>107</v>
      </c>
      <c r="N311" s="1">
        <v>1303</v>
      </c>
      <c r="O311" s="1">
        <v>1776</v>
      </c>
      <c r="P311" s="1" t="s">
        <v>19</v>
      </c>
      <c r="Q311" s="2"/>
      <c r="R311" s="1"/>
      <c r="S311" s="1"/>
      <c r="T311" s="1"/>
      <c r="U311" t="str">
        <f>TEXT(Merge2[[#This Row],[ActivityDate]],"dddd")</f>
        <v>Thursday</v>
      </c>
    </row>
    <row r="312" spans="1:21" x14ac:dyDescent="0.35">
      <c r="A312" s="1">
        <v>8378563200</v>
      </c>
      <c r="B312" s="2">
        <v>42467</v>
      </c>
      <c r="C312" s="1">
        <v>9725</v>
      </c>
      <c r="D312" s="1">
        <v>7.7100000380000004</v>
      </c>
      <c r="E312" s="1">
        <v>7.7100000380000004</v>
      </c>
      <c r="F312" s="1">
        <v>2.2530810830000001</v>
      </c>
      <c r="G312" s="1">
        <v>2.4100000860000002</v>
      </c>
      <c r="H312" s="1">
        <v>0.52999997099999996</v>
      </c>
      <c r="I312" s="1">
        <v>4.7699999809999998</v>
      </c>
      <c r="J312" s="1">
        <v>0</v>
      </c>
      <c r="K312" s="1">
        <v>83</v>
      </c>
      <c r="L312" s="1">
        <v>11</v>
      </c>
      <c r="M312" s="1">
        <v>181</v>
      </c>
      <c r="N312" s="1">
        <v>670</v>
      </c>
      <c r="O312" s="1">
        <v>3839</v>
      </c>
      <c r="P312" s="1" t="s">
        <v>18</v>
      </c>
      <c r="Q312" s="2"/>
      <c r="R312" s="1"/>
      <c r="S312" s="1"/>
      <c r="T312" s="1"/>
      <c r="U312" t="str">
        <f>TEXT(Merge2[[#This Row],[ActivityDate]],"dddd")</f>
        <v>Thursday</v>
      </c>
    </row>
    <row r="313" spans="1:21" x14ac:dyDescent="0.35">
      <c r="A313" s="1">
        <v>8583815059</v>
      </c>
      <c r="B313" s="2">
        <v>42467</v>
      </c>
      <c r="C313" s="1">
        <v>2816</v>
      </c>
      <c r="D313" s="1">
        <v>2.2000000480000002</v>
      </c>
      <c r="E313" s="1">
        <v>2.2000000480000002</v>
      </c>
      <c r="F313" s="1">
        <v>0</v>
      </c>
      <c r="G313" s="1">
        <v>0</v>
      </c>
      <c r="H313" s="1">
        <v>0</v>
      </c>
      <c r="I313" s="1">
        <v>2.2000000480000002</v>
      </c>
      <c r="J313" s="1">
        <v>0</v>
      </c>
      <c r="K313" s="1">
        <v>0</v>
      </c>
      <c r="L313" s="1">
        <v>0</v>
      </c>
      <c r="M313" s="1">
        <v>138</v>
      </c>
      <c r="N313" s="1">
        <v>1302</v>
      </c>
      <c r="O313" s="1">
        <v>2437</v>
      </c>
      <c r="P313" s="1" t="s">
        <v>17</v>
      </c>
      <c r="Q313" s="2"/>
      <c r="R313" s="1"/>
      <c r="S313" s="1"/>
      <c r="T313" s="1"/>
      <c r="U313" t="str">
        <f>TEXT(Merge2[[#This Row],[ActivityDate]],"dddd")</f>
        <v>Thursday</v>
      </c>
    </row>
    <row r="314" spans="1:21" x14ac:dyDescent="0.35">
      <c r="A314" s="1">
        <v>8792009665</v>
      </c>
      <c r="B314" s="2">
        <v>42467</v>
      </c>
      <c r="C314" s="1">
        <v>1291</v>
      </c>
      <c r="D314" s="1">
        <v>0.829999983</v>
      </c>
      <c r="E314" s="1">
        <v>0.829999983</v>
      </c>
      <c r="F314" s="1">
        <v>0</v>
      </c>
      <c r="G314" s="1">
        <v>0</v>
      </c>
      <c r="H314" s="1">
        <v>0</v>
      </c>
      <c r="I314" s="1">
        <v>0.829999983</v>
      </c>
      <c r="J314" s="1">
        <v>0</v>
      </c>
      <c r="K314" s="1">
        <v>0</v>
      </c>
      <c r="L314" s="1">
        <v>0</v>
      </c>
      <c r="M314" s="1">
        <v>77</v>
      </c>
      <c r="N314" s="1">
        <v>888</v>
      </c>
      <c r="O314" s="1">
        <v>1961</v>
      </c>
      <c r="P314" s="1" t="s">
        <v>17</v>
      </c>
      <c r="Q314" s="2"/>
      <c r="R314" s="1"/>
      <c r="S314" s="1"/>
      <c r="T314" s="1"/>
      <c r="U314" t="str">
        <f>TEXT(Merge2[[#This Row],[ActivityDate]],"dddd")</f>
        <v>Thursday</v>
      </c>
    </row>
    <row r="315" spans="1:21" x14ac:dyDescent="0.35">
      <c r="A315" s="1">
        <v>8877689391</v>
      </c>
      <c r="B315" s="2">
        <v>42467</v>
      </c>
      <c r="C315" s="1">
        <v>10910</v>
      </c>
      <c r="D315" s="1">
        <v>8.4200000760000009</v>
      </c>
      <c r="E315" s="1">
        <v>8.4200000760000009</v>
      </c>
      <c r="F315" s="1">
        <v>0</v>
      </c>
      <c r="G315" s="1">
        <v>2.960000038</v>
      </c>
      <c r="H315" s="1">
        <v>0.38999998600000002</v>
      </c>
      <c r="I315" s="1">
        <v>5.0300002099999999</v>
      </c>
      <c r="J315" s="1">
        <v>0</v>
      </c>
      <c r="K315" s="1">
        <v>32</v>
      </c>
      <c r="L315" s="1">
        <v>11</v>
      </c>
      <c r="M315" s="1">
        <v>212</v>
      </c>
      <c r="N315" s="1">
        <v>1185</v>
      </c>
      <c r="O315" s="1">
        <v>2947</v>
      </c>
      <c r="P315" s="1" t="s">
        <v>16</v>
      </c>
      <c r="Q315" s="2"/>
      <c r="R315" s="1"/>
      <c r="S315" s="1"/>
      <c r="T315" s="1"/>
      <c r="U315" t="str">
        <f>TEXT(Merge2[[#This Row],[ActivityDate]],"dddd")</f>
        <v>Thursday</v>
      </c>
    </row>
    <row r="316" spans="1:21" x14ac:dyDescent="0.35">
      <c r="A316" s="1">
        <v>1503960366</v>
      </c>
      <c r="B316" s="2">
        <v>42468</v>
      </c>
      <c r="C316" s="1">
        <v>12521</v>
      </c>
      <c r="D316" s="1">
        <v>7.9400000569999998</v>
      </c>
      <c r="E316" s="1">
        <v>7.9400000569999998</v>
      </c>
      <c r="F316" s="1">
        <v>0</v>
      </c>
      <c r="G316" s="1">
        <v>3.3099999430000002</v>
      </c>
      <c r="H316" s="1">
        <v>0.89999997600000003</v>
      </c>
      <c r="I316" s="1">
        <v>3.7400000100000002</v>
      </c>
      <c r="J316" s="1">
        <v>0</v>
      </c>
      <c r="K316" s="1">
        <v>46</v>
      </c>
      <c r="L316" s="1">
        <v>22</v>
      </c>
      <c r="M316" s="1">
        <v>212</v>
      </c>
      <c r="N316" s="1">
        <v>1160</v>
      </c>
      <c r="O316" s="1">
        <v>1895</v>
      </c>
      <c r="P316" s="1" t="s">
        <v>16</v>
      </c>
      <c r="Q316" s="2"/>
      <c r="R316" s="1"/>
      <c r="S316" s="1"/>
      <c r="T316" s="1"/>
      <c r="U316" t="str">
        <f>TEXT(Merge2[[#This Row],[ActivityDate]],"dddd")</f>
        <v>Friday</v>
      </c>
    </row>
    <row r="317" spans="1:21" x14ac:dyDescent="0.35">
      <c r="A317" s="1">
        <v>1624580081</v>
      </c>
      <c r="B317" s="2">
        <v>42468</v>
      </c>
      <c r="C317" s="1">
        <v>6344</v>
      </c>
      <c r="D317" s="1">
        <v>4.1199998860000004</v>
      </c>
      <c r="E317" s="1">
        <v>4.1199998860000004</v>
      </c>
      <c r="F317" s="1">
        <v>0</v>
      </c>
      <c r="G317" s="1">
        <v>0</v>
      </c>
      <c r="H317" s="1">
        <v>0</v>
      </c>
      <c r="I317" s="1">
        <v>4.0999999049999998</v>
      </c>
      <c r="J317" s="1">
        <v>0</v>
      </c>
      <c r="K317" s="1">
        <v>0</v>
      </c>
      <c r="L317" s="1">
        <v>0</v>
      </c>
      <c r="M317" s="1">
        <v>143</v>
      </c>
      <c r="N317" s="1">
        <v>1297</v>
      </c>
      <c r="O317" s="1">
        <v>1409</v>
      </c>
      <c r="P317" s="1" t="s">
        <v>19</v>
      </c>
      <c r="Q317" s="2"/>
      <c r="R317" s="1"/>
      <c r="S317" s="1"/>
      <c r="T317" s="1"/>
      <c r="U317" t="str">
        <f>TEXT(Merge2[[#This Row],[ActivityDate]],"dddd")</f>
        <v>Friday</v>
      </c>
    </row>
    <row r="318" spans="1:21" x14ac:dyDescent="0.35">
      <c r="A318" s="1">
        <v>1644430081</v>
      </c>
      <c r="B318" s="2">
        <v>42468</v>
      </c>
      <c r="C318" s="1">
        <v>7842</v>
      </c>
      <c r="D318" s="1">
        <v>5.6999998090000004</v>
      </c>
      <c r="E318" s="1">
        <v>5.6999998090000004</v>
      </c>
      <c r="F318" s="1">
        <v>0</v>
      </c>
      <c r="G318" s="1">
        <v>0.47999998900000002</v>
      </c>
      <c r="H318" s="1">
        <v>2.4100000860000002</v>
      </c>
      <c r="I318" s="1">
        <v>2.8099999430000002</v>
      </c>
      <c r="J318" s="1">
        <v>0</v>
      </c>
      <c r="K318" s="1">
        <v>7</v>
      </c>
      <c r="L318" s="1">
        <v>43</v>
      </c>
      <c r="M318" s="1">
        <v>161</v>
      </c>
      <c r="N318" s="1">
        <v>1229</v>
      </c>
      <c r="O318" s="1">
        <v>2928</v>
      </c>
      <c r="P318" s="1" t="s">
        <v>18</v>
      </c>
      <c r="Q318" s="2"/>
      <c r="R318" s="1"/>
      <c r="S318" s="1"/>
      <c r="T318" s="1"/>
      <c r="U318" t="str">
        <f>TEXT(Merge2[[#This Row],[ActivityDate]],"dddd")</f>
        <v>Friday</v>
      </c>
    </row>
    <row r="319" spans="1:21" x14ac:dyDescent="0.35">
      <c r="A319" s="1">
        <v>1844505072</v>
      </c>
      <c r="B319" s="2">
        <v>42468</v>
      </c>
      <c r="C319" s="1">
        <v>5316</v>
      </c>
      <c r="D319" s="1">
        <v>3.5099999899999998</v>
      </c>
      <c r="E319" s="1">
        <v>3.5099999899999998</v>
      </c>
      <c r="F319" s="1">
        <v>0</v>
      </c>
      <c r="G319" s="1">
        <v>0</v>
      </c>
      <c r="H319" s="1">
        <v>0</v>
      </c>
      <c r="I319" s="1">
        <v>3.5099999899999998</v>
      </c>
      <c r="J319" s="1">
        <v>0</v>
      </c>
      <c r="K319" s="1">
        <v>0</v>
      </c>
      <c r="L319" s="1">
        <v>0</v>
      </c>
      <c r="M319" s="1">
        <v>221</v>
      </c>
      <c r="N319" s="1">
        <v>1219</v>
      </c>
      <c r="O319" s="1">
        <v>1824</v>
      </c>
      <c r="P319" s="1" t="s">
        <v>19</v>
      </c>
      <c r="Q319" s="2"/>
      <c r="R319" s="1"/>
      <c r="S319" s="1"/>
      <c r="T319" s="1"/>
      <c r="U319" t="str">
        <f>TEXT(Merge2[[#This Row],[ActivityDate]],"dddd")</f>
        <v>Friday</v>
      </c>
    </row>
    <row r="320" spans="1:21" x14ac:dyDescent="0.35">
      <c r="A320" s="1">
        <v>1927972279</v>
      </c>
      <c r="B320" s="2">
        <v>42468</v>
      </c>
      <c r="C320" s="1">
        <v>519</v>
      </c>
      <c r="D320" s="1">
        <v>0.36000001399999998</v>
      </c>
      <c r="E320" s="1">
        <v>0.36000001399999998</v>
      </c>
      <c r="F320" s="1">
        <v>0</v>
      </c>
      <c r="G320" s="1">
        <v>0</v>
      </c>
      <c r="H320" s="1">
        <v>0</v>
      </c>
      <c r="I320" s="1">
        <v>0.36000001399999998</v>
      </c>
      <c r="J320" s="1">
        <v>0</v>
      </c>
      <c r="K320" s="1">
        <v>0</v>
      </c>
      <c r="L320" s="1">
        <v>0</v>
      </c>
      <c r="M320" s="1">
        <v>34</v>
      </c>
      <c r="N320" s="1">
        <v>1406</v>
      </c>
      <c r="O320" s="1">
        <v>2088</v>
      </c>
      <c r="P320" s="1" t="s">
        <v>17</v>
      </c>
      <c r="Q320" s="2"/>
      <c r="R320" s="1"/>
      <c r="S320" s="1"/>
      <c r="T320" s="1"/>
      <c r="U320" t="str">
        <f>TEXT(Merge2[[#This Row],[ActivityDate]],"dddd")</f>
        <v>Friday</v>
      </c>
    </row>
    <row r="321" spans="1:21" x14ac:dyDescent="0.35">
      <c r="A321" s="1">
        <v>2022484408</v>
      </c>
      <c r="B321" s="2">
        <v>42468</v>
      </c>
      <c r="C321" s="1">
        <v>13023</v>
      </c>
      <c r="D321" s="1">
        <v>9.2600002289999992</v>
      </c>
      <c r="E321" s="1">
        <v>9.2600002289999992</v>
      </c>
      <c r="F321" s="1">
        <v>0</v>
      </c>
      <c r="G321" s="1">
        <v>3.2300000190000002</v>
      </c>
      <c r="H321" s="1">
        <v>0.560000002</v>
      </c>
      <c r="I321" s="1">
        <v>5.4699997900000001</v>
      </c>
      <c r="J321" s="1">
        <v>0</v>
      </c>
      <c r="K321" s="1">
        <v>40</v>
      </c>
      <c r="L321" s="1">
        <v>12</v>
      </c>
      <c r="M321" s="1">
        <v>296</v>
      </c>
      <c r="N321" s="1">
        <v>1092</v>
      </c>
      <c r="O321" s="1">
        <v>2577</v>
      </c>
      <c r="P321" s="1" t="s">
        <v>16</v>
      </c>
      <c r="Q321" s="2"/>
      <c r="R321" s="1"/>
      <c r="S321" s="1"/>
      <c r="T321" s="1"/>
      <c r="U321" t="str">
        <f>TEXT(Merge2[[#This Row],[ActivityDate]],"dddd")</f>
        <v>Friday</v>
      </c>
    </row>
    <row r="322" spans="1:21" x14ac:dyDescent="0.35">
      <c r="A322" s="1">
        <v>2026352035</v>
      </c>
      <c r="B322" s="2">
        <v>42468</v>
      </c>
      <c r="C322" s="1">
        <v>3762</v>
      </c>
      <c r="D322" s="1">
        <v>2.329999924</v>
      </c>
      <c r="E322" s="1">
        <v>2.329999924</v>
      </c>
      <c r="F322" s="1">
        <v>0</v>
      </c>
      <c r="G322" s="1">
        <v>0</v>
      </c>
      <c r="H322" s="1">
        <v>0</v>
      </c>
      <c r="I322" s="1">
        <v>2.329999924</v>
      </c>
      <c r="J322" s="1">
        <v>0</v>
      </c>
      <c r="K322" s="1">
        <v>0</v>
      </c>
      <c r="L322" s="1">
        <v>0</v>
      </c>
      <c r="M322" s="1">
        <v>173</v>
      </c>
      <c r="N322" s="1">
        <v>719</v>
      </c>
      <c r="O322" s="1">
        <v>1425</v>
      </c>
      <c r="P322" s="1" t="s">
        <v>17</v>
      </c>
      <c r="Q322" s="2"/>
      <c r="R322" s="1"/>
      <c r="S322" s="1"/>
      <c r="T322" s="1"/>
      <c r="U322" t="str">
        <f>TEXT(Merge2[[#This Row],[ActivityDate]],"dddd")</f>
        <v>Friday</v>
      </c>
    </row>
    <row r="323" spans="1:21" x14ac:dyDescent="0.35">
      <c r="A323" s="1">
        <v>2320127002</v>
      </c>
      <c r="B323" s="2">
        <v>42468</v>
      </c>
      <c r="C323" s="1">
        <v>3417</v>
      </c>
      <c r="D323" s="1">
        <v>2.2999999519999998</v>
      </c>
      <c r="E323" s="1">
        <v>2.2999999519999998</v>
      </c>
      <c r="F323" s="1">
        <v>0</v>
      </c>
      <c r="G323" s="1">
        <v>0</v>
      </c>
      <c r="H323" s="1">
        <v>0</v>
      </c>
      <c r="I323" s="1">
        <v>2.2999999519999998</v>
      </c>
      <c r="J323" s="1">
        <v>0</v>
      </c>
      <c r="K323" s="1">
        <v>0</v>
      </c>
      <c r="L323" s="1">
        <v>0</v>
      </c>
      <c r="M323" s="1">
        <v>153</v>
      </c>
      <c r="N323" s="1">
        <v>1287</v>
      </c>
      <c r="O323" s="1">
        <v>1625</v>
      </c>
      <c r="P323" s="1" t="s">
        <v>17</v>
      </c>
      <c r="Q323" s="2"/>
      <c r="R323" s="1"/>
      <c r="S323" s="1"/>
      <c r="T323" s="1"/>
      <c r="U323" t="str">
        <f>TEXT(Merge2[[#This Row],[ActivityDate]],"dddd")</f>
        <v>Friday</v>
      </c>
    </row>
    <row r="324" spans="1:21" x14ac:dyDescent="0.35">
      <c r="A324" s="1">
        <v>2347167796</v>
      </c>
      <c r="B324" s="2">
        <v>42468</v>
      </c>
      <c r="C324" s="1">
        <v>10209</v>
      </c>
      <c r="D324" s="1">
        <v>6.75</v>
      </c>
      <c r="E324" s="1">
        <v>6.75</v>
      </c>
      <c r="F324" s="1">
        <v>0</v>
      </c>
      <c r="G324" s="1">
        <v>0.15999999600000001</v>
      </c>
      <c r="H324" s="1">
        <v>0.34999999399999998</v>
      </c>
      <c r="I324" s="1">
        <v>6.2300000190000002</v>
      </c>
      <c r="J324" s="1">
        <v>0</v>
      </c>
      <c r="K324" s="1">
        <v>2</v>
      </c>
      <c r="L324" s="1">
        <v>6</v>
      </c>
      <c r="M324" s="1">
        <v>316</v>
      </c>
      <c r="N324" s="1">
        <v>711</v>
      </c>
      <c r="O324" s="1">
        <v>2104</v>
      </c>
      <c r="P324" s="1" t="s">
        <v>16</v>
      </c>
      <c r="Q324" s="2"/>
      <c r="R324" s="1"/>
      <c r="S324" s="1"/>
      <c r="T324" s="1"/>
      <c r="U324" t="str">
        <f>TEXT(Merge2[[#This Row],[ActivityDate]],"dddd")</f>
        <v>Friday</v>
      </c>
    </row>
    <row r="325" spans="1:21" x14ac:dyDescent="0.35">
      <c r="A325" s="1">
        <v>2873212765</v>
      </c>
      <c r="B325" s="2">
        <v>42468</v>
      </c>
      <c r="C325" s="1">
        <v>7157</v>
      </c>
      <c r="D325" s="1">
        <v>4.8099999430000002</v>
      </c>
      <c r="E325" s="1">
        <v>4.8099999430000002</v>
      </c>
      <c r="F325" s="1">
        <v>0</v>
      </c>
      <c r="G325" s="1">
        <v>0</v>
      </c>
      <c r="H325" s="1">
        <v>0</v>
      </c>
      <c r="I325" s="1">
        <v>4.8099999430000002</v>
      </c>
      <c r="J325" s="1">
        <v>0</v>
      </c>
      <c r="K325" s="1">
        <v>0</v>
      </c>
      <c r="L325" s="1">
        <v>0</v>
      </c>
      <c r="M325" s="1">
        <v>380</v>
      </c>
      <c r="N325" s="1">
        <v>1060</v>
      </c>
      <c r="O325" s="1">
        <v>1944</v>
      </c>
      <c r="P325" s="1" t="s">
        <v>19</v>
      </c>
      <c r="Q325" s="2"/>
      <c r="R325" s="1"/>
      <c r="S325" s="1"/>
      <c r="T325" s="1"/>
      <c r="U325" t="str">
        <f>TEXT(Merge2[[#This Row],[ActivityDate]],"dddd")</f>
        <v>Friday</v>
      </c>
    </row>
    <row r="326" spans="1:21" x14ac:dyDescent="0.35">
      <c r="A326" s="1">
        <v>3372868164</v>
      </c>
      <c r="B326" s="2">
        <v>42468</v>
      </c>
      <c r="C326" s="1">
        <v>5551</v>
      </c>
      <c r="D326" s="1">
        <v>3.789999962</v>
      </c>
      <c r="E326" s="1">
        <v>3.789999962</v>
      </c>
      <c r="F326" s="1">
        <v>0</v>
      </c>
      <c r="G326" s="1">
        <v>0</v>
      </c>
      <c r="H326" s="1">
        <v>0</v>
      </c>
      <c r="I326" s="1">
        <v>3.7699999809999998</v>
      </c>
      <c r="J326" s="1">
        <v>0.01</v>
      </c>
      <c r="K326" s="1">
        <v>0</v>
      </c>
      <c r="L326" s="1">
        <v>0</v>
      </c>
      <c r="M326" s="1">
        <v>282</v>
      </c>
      <c r="N326" s="1">
        <v>1158</v>
      </c>
      <c r="O326" s="1">
        <v>1815</v>
      </c>
      <c r="P326" s="1" t="s">
        <v>19</v>
      </c>
      <c r="Q326" s="2"/>
      <c r="R326" s="1"/>
      <c r="S326" s="1"/>
      <c r="T326" s="1"/>
      <c r="U326" t="str">
        <f>TEXT(Merge2[[#This Row],[ActivityDate]],"dddd")</f>
        <v>Friday</v>
      </c>
    </row>
    <row r="327" spans="1:21" x14ac:dyDescent="0.35">
      <c r="A327" s="1">
        <v>3977333714</v>
      </c>
      <c r="B327" s="2">
        <v>42468</v>
      </c>
      <c r="C327" s="1">
        <v>10226</v>
      </c>
      <c r="D327" s="1">
        <v>6.8400001530000001</v>
      </c>
      <c r="E327" s="1">
        <v>6.8400001530000001</v>
      </c>
      <c r="F327" s="1">
        <v>0</v>
      </c>
      <c r="G327" s="1">
        <v>0</v>
      </c>
      <c r="H327" s="1">
        <v>4.4400000569999998</v>
      </c>
      <c r="I327" s="1">
        <v>2.4000000950000002</v>
      </c>
      <c r="J327" s="1">
        <v>0</v>
      </c>
      <c r="K327" s="1">
        <v>0</v>
      </c>
      <c r="L327" s="1">
        <v>101</v>
      </c>
      <c r="M327" s="1">
        <v>174</v>
      </c>
      <c r="N327" s="1">
        <v>685</v>
      </c>
      <c r="O327" s="1">
        <v>1524</v>
      </c>
      <c r="P327" s="1" t="s">
        <v>16</v>
      </c>
      <c r="Q327" s="2"/>
      <c r="R327" s="1"/>
      <c r="S327" s="1"/>
      <c r="T327" s="1"/>
      <c r="U327" t="str">
        <f>TEXT(Merge2[[#This Row],[ActivityDate]],"dddd")</f>
        <v>Friday</v>
      </c>
    </row>
    <row r="328" spans="1:21" x14ac:dyDescent="0.35">
      <c r="A328" s="1">
        <v>4020332650</v>
      </c>
      <c r="B328" s="2">
        <v>42468</v>
      </c>
      <c r="C328" s="1">
        <v>10480</v>
      </c>
      <c r="D328" s="1">
        <v>7.5100002290000001</v>
      </c>
      <c r="E328" s="1">
        <v>7.5100002290000001</v>
      </c>
      <c r="F328" s="1">
        <v>0</v>
      </c>
      <c r="G328" s="1">
        <v>0.40999999599999998</v>
      </c>
      <c r="H328" s="1">
        <v>1.4700000289999999</v>
      </c>
      <c r="I328" s="1">
        <v>5.0100002290000001</v>
      </c>
      <c r="J328" s="1">
        <v>3.9999999000000001E-2</v>
      </c>
      <c r="K328" s="1">
        <v>6</v>
      </c>
      <c r="L328" s="1">
        <v>37</v>
      </c>
      <c r="M328" s="1">
        <v>272</v>
      </c>
      <c r="N328" s="1">
        <v>1125</v>
      </c>
      <c r="O328" s="1">
        <v>4034</v>
      </c>
      <c r="P328" s="1" t="s">
        <v>16</v>
      </c>
      <c r="Q328" s="2"/>
      <c r="R328" s="1"/>
      <c r="S328" s="1"/>
      <c r="T328" s="1"/>
      <c r="U328" t="str">
        <f>TEXT(Merge2[[#This Row],[ActivityDate]],"dddd")</f>
        <v>Friday</v>
      </c>
    </row>
    <row r="329" spans="1:21" x14ac:dyDescent="0.35">
      <c r="A329" s="1">
        <v>4057192912</v>
      </c>
      <c r="B329" s="2">
        <v>42468</v>
      </c>
      <c r="C329" s="1">
        <v>8426</v>
      </c>
      <c r="D329" s="1">
        <v>6.1599998469999999</v>
      </c>
      <c r="E329" s="1">
        <v>6.1599998469999999</v>
      </c>
      <c r="F329" s="1">
        <v>0</v>
      </c>
      <c r="G329" s="1">
        <v>0.12999999500000001</v>
      </c>
      <c r="H329" s="1">
        <v>5.4899997709999999</v>
      </c>
      <c r="I329" s="1">
        <v>0.540000021</v>
      </c>
      <c r="J329" s="1">
        <v>0</v>
      </c>
      <c r="K329" s="1">
        <v>2</v>
      </c>
      <c r="L329" s="1">
        <v>120</v>
      </c>
      <c r="M329" s="1">
        <v>25</v>
      </c>
      <c r="N329" s="1">
        <v>1293</v>
      </c>
      <c r="O329" s="1">
        <v>2360</v>
      </c>
      <c r="P329" s="1" t="s">
        <v>18</v>
      </c>
      <c r="Q329" s="2"/>
      <c r="R329" s="1"/>
      <c r="S329" s="1"/>
      <c r="T329" s="1"/>
      <c r="U329" t="str">
        <f>TEXT(Merge2[[#This Row],[ActivityDate]],"dddd")</f>
        <v>Friday</v>
      </c>
    </row>
    <row r="330" spans="1:21" x14ac:dyDescent="0.35">
      <c r="A330" s="1">
        <v>4319703577</v>
      </c>
      <c r="B330" s="2">
        <v>42468</v>
      </c>
      <c r="C330" s="1">
        <v>6544</v>
      </c>
      <c r="D330" s="1">
        <v>4.4099998469999999</v>
      </c>
      <c r="E330" s="1">
        <v>4.4099998469999999</v>
      </c>
      <c r="F330" s="1">
        <v>0</v>
      </c>
      <c r="G330" s="1">
        <v>0.28999999199999998</v>
      </c>
      <c r="H330" s="1">
        <v>0.25999999000000001</v>
      </c>
      <c r="I330" s="1">
        <v>3.8599998950000001</v>
      </c>
      <c r="J330" s="1">
        <v>0</v>
      </c>
      <c r="K330" s="1">
        <v>4</v>
      </c>
      <c r="L330" s="1">
        <v>6</v>
      </c>
      <c r="M330" s="1">
        <v>276</v>
      </c>
      <c r="N330" s="1">
        <v>1132</v>
      </c>
      <c r="O330" s="1">
        <v>2069</v>
      </c>
      <c r="P330" s="1" t="s">
        <v>19</v>
      </c>
      <c r="Q330" s="2"/>
      <c r="R330" s="1"/>
      <c r="S330" s="1"/>
      <c r="T330" s="1"/>
      <c r="U330" t="str">
        <f>TEXT(Merge2[[#This Row],[ActivityDate]],"dddd")</f>
        <v>Friday</v>
      </c>
    </row>
    <row r="331" spans="1:21" x14ac:dyDescent="0.35">
      <c r="A331" s="1">
        <v>4445114986</v>
      </c>
      <c r="B331" s="2">
        <v>42468</v>
      </c>
      <c r="C331" s="1">
        <v>5543</v>
      </c>
      <c r="D331" s="1">
        <v>3.7200000289999999</v>
      </c>
      <c r="E331" s="1">
        <v>3.7200000289999999</v>
      </c>
      <c r="F331" s="1">
        <v>0</v>
      </c>
      <c r="G331" s="1">
        <v>0</v>
      </c>
      <c r="H331" s="1">
        <v>0</v>
      </c>
      <c r="I331" s="1">
        <v>3.7200000289999999</v>
      </c>
      <c r="J331" s="1">
        <v>0</v>
      </c>
      <c r="K331" s="1">
        <v>0</v>
      </c>
      <c r="L331" s="1">
        <v>0</v>
      </c>
      <c r="M331" s="1">
        <v>266</v>
      </c>
      <c r="N331" s="1">
        <v>941</v>
      </c>
      <c r="O331" s="1">
        <v>2303</v>
      </c>
      <c r="P331" s="1" t="s">
        <v>19</v>
      </c>
      <c r="Q331" s="2"/>
      <c r="R331" s="1"/>
      <c r="S331" s="1"/>
      <c r="T331" s="1"/>
      <c r="U331" t="str">
        <f>TEXT(Merge2[[#This Row],[ActivityDate]],"dddd")</f>
        <v>Friday</v>
      </c>
    </row>
    <row r="332" spans="1:21" x14ac:dyDescent="0.35">
      <c r="A332" s="1">
        <v>4558609924</v>
      </c>
      <c r="B332" s="2">
        <v>42468</v>
      </c>
      <c r="C332" s="1">
        <v>4195</v>
      </c>
      <c r="D332" s="1">
        <v>2.7699999809999998</v>
      </c>
      <c r="E332" s="1">
        <v>2.7699999809999998</v>
      </c>
      <c r="F332" s="1">
        <v>0</v>
      </c>
      <c r="G332" s="1">
        <v>0</v>
      </c>
      <c r="H332" s="1">
        <v>0</v>
      </c>
      <c r="I332" s="1">
        <v>2.7699999809999998</v>
      </c>
      <c r="J332" s="1">
        <v>0</v>
      </c>
      <c r="K332" s="1">
        <v>0</v>
      </c>
      <c r="L332" s="1">
        <v>0</v>
      </c>
      <c r="M332" s="1">
        <v>241</v>
      </c>
      <c r="N332" s="1">
        <v>1199</v>
      </c>
      <c r="O332" s="1">
        <v>1778</v>
      </c>
      <c r="P332" s="1" t="s">
        <v>17</v>
      </c>
      <c r="Q332" s="2"/>
      <c r="R332" s="1"/>
      <c r="S332" s="1"/>
      <c r="T332" s="1"/>
      <c r="U332" t="str">
        <f>TEXT(Merge2[[#This Row],[ActivityDate]],"dddd")</f>
        <v>Friday</v>
      </c>
    </row>
    <row r="333" spans="1:21" x14ac:dyDescent="0.35">
      <c r="A333" s="1">
        <v>4702921684</v>
      </c>
      <c r="B333" s="2">
        <v>42468</v>
      </c>
      <c r="C333" s="1">
        <v>8184</v>
      </c>
      <c r="D333" s="1">
        <v>6.6399998660000001</v>
      </c>
      <c r="E333" s="1">
        <v>6.6399998660000001</v>
      </c>
      <c r="F333" s="1">
        <v>0</v>
      </c>
      <c r="G333" s="1">
        <v>0</v>
      </c>
      <c r="H333" s="1">
        <v>0.62000000499999997</v>
      </c>
      <c r="I333" s="1">
        <v>5.9499998090000004</v>
      </c>
      <c r="J333" s="1">
        <v>0</v>
      </c>
      <c r="K333" s="1">
        <v>0</v>
      </c>
      <c r="L333" s="1">
        <v>15</v>
      </c>
      <c r="M333" s="1">
        <v>247</v>
      </c>
      <c r="N333" s="1">
        <v>808</v>
      </c>
      <c r="O333" s="1">
        <v>2981</v>
      </c>
      <c r="P333" s="1" t="s">
        <v>18</v>
      </c>
      <c r="Q333" s="2"/>
      <c r="R333" s="1"/>
      <c r="S333" s="1"/>
      <c r="T333" s="1"/>
      <c r="U333" t="str">
        <f>TEXT(Merge2[[#This Row],[ActivityDate]],"dddd")</f>
        <v>Friday</v>
      </c>
    </row>
    <row r="334" spans="1:21" x14ac:dyDescent="0.35">
      <c r="A334" s="1">
        <v>5553957443</v>
      </c>
      <c r="B334" s="2">
        <v>42468</v>
      </c>
      <c r="C334" s="1">
        <v>9938</v>
      </c>
      <c r="D334" s="1">
        <v>6.4899997709999999</v>
      </c>
      <c r="E334" s="1">
        <v>6.4899997709999999</v>
      </c>
      <c r="F334" s="1">
        <v>0</v>
      </c>
      <c r="G334" s="1">
        <v>2.1400001049999999</v>
      </c>
      <c r="H334" s="1">
        <v>1.2799999710000001</v>
      </c>
      <c r="I334" s="1">
        <v>3.079999924</v>
      </c>
      <c r="J334" s="1">
        <v>0</v>
      </c>
      <c r="K334" s="1">
        <v>38</v>
      </c>
      <c r="L334" s="1">
        <v>24</v>
      </c>
      <c r="M334" s="1">
        <v>193</v>
      </c>
      <c r="N334" s="1">
        <v>767</v>
      </c>
      <c r="O334" s="1">
        <v>2019</v>
      </c>
      <c r="P334" s="1" t="s">
        <v>18</v>
      </c>
      <c r="Q334" s="2"/>
      <c r="R334" s="1"/>
      <c r="S334" s="1"/>
      <c r="T334" s="1"/>
      <c r="U334" t="str">
        <f>TEXT(Merge2[[#This Row],[ActivityDate]],"dddd")</f>
        <v>Friday</v>
      </c>
    </row>
    <row r="335" spans="1:21" x14ac:dyDescent="0.35">
      <c r="A335" s="1">
        <v>5577150313</v>
      </c>
      <c r="B335" s="2">
        <v>42468</v>
      </c>
      <c r="C335" s="1">
        <v>4363</v>
      </c>
      <c r="D335" s="1">
        <v>3.2599999899999998</v>
      </c>
      <c r="E335" s="1">
        <v>3.2599999899999998</v>
      </c>
      <c r="F335" s="1">
        <v>0</v>
      </c>
      <c r="G335" s="1">
        <v>0.12999999500000001</v>
      </c>
      <c r="H335" s="1">
        <v>5.9999998999999998E-2</v>
      </c>
      <c r="I335" s="1">
        <v>3.079999924</v>
      </c>
      <c r="J335" s="1">
        <v>0</v>
      </c>
      <c r="K335" s="1">
        <v>8</v>
      </c>
      <c r="L335" s="1">
        <v>2</v>
      </c>
      <c r="M335" s="1">
        <v>156</v>
      </c>
      <c r="N335" s="1">
        <v>813</v>
      </c>
      <c r="O335" s="1">
        <v>2486</v>
      </c>
      <c r="P335" s="1" t="s">
        <v>17</v>
      </c>
      <c r="Q335" s="2"/>
      <c r="R335" s="1"/>
      <c r="S335" s="1"/>
      <c r="T335" s="1"/>
      <c r="U335" t="str">
        <f>TEXT(Merge2[[#This Row],[ActivityDate]],"dddd")</f>
        <v>Friday</v>
      </c>
    </row>
    <row r="336" spans="1:21" x14ac:dyDescent="0.35">
      <c r="A336" s="1">
        <v>6117666160</v>
      </c>
      <c r="B336" s="2">
        <v>42468</v>
      </c>
      <c r="C336" s="1">
        <v>8955</v>
      </c>
      <c r="D336" s="1">
        <v>6.7600002290000001</v>
      </c>
      <c r="E336" s="1">
        <v>6.7600002290000001</v>
      </c>
      <c r="F336" s="1">
        <v>0</v>
      </c>
      <c r="G336" s="1">
        <v>0</v>
      </c>
      <c r="H336" s="1">
        <v>0</v>
      </c>
      <c r="I336" s="1">
        <v>6.7300000190000002</v>
      </c>
      <c r="J336" s="1">
        <v>0</v>
      </c>
      <c r="K336" s="1">
        <v>0</v>
      </c>
      <c r="L336" s="1">
        <v>0</v>
      </c>
      <c r="M336" s="1">
        <v>422</v>
      </c>
      <c r="N336" s="1">
        <v>1018</v>
      </c>
      <c r="O336" s="1">
        <v>2482</v>
      </c>
      <c r="P336" s="1" t="s">
        <v>18</v>
      </c>
      <c r="Q336" s="2"/>
      <c r="R336" s="1"/>
      <c r="S336" s="1"/>
      <c r="T336" s="1"/>
      <c r="U336" t="str">
        <f>TEXT(Merge2[[#This Row],[ActivityDate]],"dddd")</f>
        <v>Friday</v>
      </c>
    </row>
    <row r="337" spans="1:21" x14ac:dyDescent="0.35">
      <c r="A337" s="1">
        <v>6290855005</v>
      </c>
      <c r="B337" s="2">
        <v>42468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1440</v>
      </c>
      <c r="O337" s="1">
        <v>2060</v>
      </c>
      <c r="P337" s="1" t="s">
        <v>17</v>
      </c>
      <c r="Q337" s="2"/>
      <c r="R337" s="1"/>
      <c r="S337" s="1"/>
      <c r="T337" s="1"/>
      <c r="U337" t="str">
        <f>TEXT(Merge2[[#This Row],[ActivityDate]],"dddd")</f>
        <v>Friday</v>
      </c>
    </row>
    <row r="338" spans="1:21" x14ac:dyDescent="0.35">
      <c r="A338" s="1">
        <v>6391747486</v>
      </c>
      <c r="B338" s="2">
        <v>42468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1440</v>
      </c>
      <c r="O338" s="1">
        <v>1820</v>
      </c>
      <c r="P338" s="1" t="s">
        <v>17</v>
      </c>
      <c r="Q338" s="2"/>
      <c r="R338" s="1"/>
      <c r="S338" s="1"/>
      <c r="T338" s="1"/>
      <c r="U338" t="str">
        <f>TEXT(Merge2[[#This Row],[ActivityDate]],"dddd")</f>
        <v>Friday</v>
      </c>
    </row>
    <row r="339" spans="1:21" x14ac:dyDescent="0.35">
      <c r="A339" s="1">
        <v>6775888955</v>
      </c>
      <c r="B339" s="2">
        <v>42468</v>
      </c>
      <c r="C339" s="1">
        <v>4131</v>
      </c>
      <c r="D339" s="1">
        <v>2.960000038</v>
      </c>
      <c r="E339" s="1">
        <v>2.960000038</v>
      </c>
      <c r="F339" s="1">
        <v>0</v>
      </c>
      <c r="G339" s="1">
        <v>1.3700000050000001</v>
      </c>
      <c r="H339" s="1">
        <v>0.61000001400000003</v>
      </c>
      <c r="I339" s="1">
        <v>0.980000019</v>
      </c>
      <c r="J339" s="1">
        <v>0</v>
      </c>
      <c r="K339" s="1">
        <v>27</v>
      </c>
      <c r="L339" s="1">
        <v>30</v>
      </c>
      <c r="M339" s="1">
        <v>75</v>
      </c>
      <c r="N339" s="1">
        <v>1308</v>
      </c>
      <c r="O339" s="1">
        <v>2584</v>
      </c>
      <c r="P339" s="1" t="s">
        <v>17</v>
      </c>
      <c r="Q339" s="2"/>
      <c r="R339" s="1"/>
      <c r="S339" s="1"/>
      <c r="T339" s="1"/>
      <c r="U339" t="str">
        <f>TEXT(Merge2[[#This Row],[ActivityDate]],"dddd")</f>
        <v>Friday</v>
      </c>
    </row>
    <row r="340" spans="1:21" x14ac:dyDescent="0.35">
      <c r="A340" s="1">
        <v>6962181067</v>
      </c>
      <c r="B340" s="2">
        <v>42468</v>
      </c>
      <c r="C340" s="1">
        <v>14400</v>
      </c>
      <c r="D340" s="1">
        <v>10.880000109999999</v>
      </c>
      <c r="E340" s="1">
        <v>9.5200004580000002</v>
      </c>
      <c r="F340" s="1">
        <v>5.4568638800000002</v>
      </c>
      <c r="G340" s="1">
        <v>2.4700000289999999</v>
      </c>
      <c r="H340" s="1">
        <v>2.880000114</v>
      </c>
      <c r="I340" s="1">
        <v>5.5300002099999999</v>
      </c>
      <c r="J340" s="1">
        <v>0</v>
      </c>
      <c r="K340" s="1">
        <v>27</v>
      </c>
      <c r="L340" s="1">
        <v>37</v>
      </c>
      <c r="M340" s="1">
        <v>276</v>
      </c>
      <c r="N340" s="1">
        <v>697</v>
      </c>
      <c r="O340" s="1">
        <v>2188</v>
      </c>
      <c r="P340" s="1" t="s">
        <v>16</v>
      </c>
      <c r="Q340" s="2"/>
      <c r="R340" s="1"/>
      <c r="S340" s="1"/>
      <c r="T340" s="1"/>
      <c r="U340" t="str">
        <f>TEXT(Merge2[[#This Row],[ActivityDate]],"dddd")</f>
        <v>Friday</v>
      </c>
    </row>
    <row r="341" spans="1:21" x14ac:dyDescent="0.35">
      <c r="A341" s="1">
        <v>7007744171</v>
      </c>
      <c r="B341" s="2">
        <v>42468</v>
      </c>
      <c r="C341" s="1">
        <v>12627</v>
      </c>
      <c r="D341" s="1">
        <v>9.6499996190000008</v>
      </c>
      <c r="E341" s="1">
        <v>8.4499998089999995</v>
      </c>
      <c r="F341" s="1">
        <v>4.8423199649999997</v>
      </c>
      <c r="G341" s="1">
        <v>4.6999998090000004</v>
      </c>
      <c r="H341" s="1">
        <v>0.74000001000000004</v>
      </c>
      <c r="I341" s="1">
        <v>4.2100000380000004</v>
      </c>
      <c r="J341" s="1">
        <v>0</v>
      </c>
      <c r="K341" s="1">
        <v>54</v>
      </c>
      <c r="L341" s="1">
        <v>22</v>
      </c>
      <c r="M341" s="1">
        <v>301</v>
      </c>
      <c r="N341" s="1">
        <v>1063</v>
      </c>
      <c r="O341" s="1">
        <v>2871</v>
      </c>
      <c r="P341" s="1" t="s">
        <v>16</v>
      </c>
      <c r="Q341" s="2"/>
      <c r="R341" s="1"/>
      <c r="S341" s="1"/>
      <c r="T341" s="1"/>
      <c r="U341" t="str">
        <f>TEXT(Merge2[[#This Row],[ActivityDate]],"dddd")</f>
        <v>Friday</v>
      </c>
    </row>
    <row r="342" spans="1:21" x14ac:dyDescent="0.35">
      <c r="A342" s="1">
        <v>7086361926</v>
      </c>
      <c r="B342" s="2">
        <v>42468</v>
      </c>
      <c r="C342" s="1">
        <v>9634</v>
      </c>
      <c r="D342" s="1">
        <v>6.5199999809999998</v>
      </c>
      <c r="E342" s="1">
        <v>6.5199999809999998</v>
      </c>
      <c r="F342" s="1">
        <v>0</v>
      </c>
      <c r="G342" s="1">
        <v>2.5</v>
      </c>
      <c r="H342" s="1">
        <v>1.3999999759999999</v>
      </c>
      <c r="I342" s="1">
        <v>2.5899999139999998</v>
      </c>
      <c r="J342" s="1">
        <v>0</v>
      </c>
      <c r="K342" s="1">
        <v>50</v>
      </c>
      <c r="L342" s="1">
        <v>48</v>
      </c>
      <c r="M342" s="1">
        <v>140</v>
      </c>
      <c r="N342" s="1">
        <v>797</v>
      </c>
      <c r="O342" s="1">
        <v>2752</v>
      </c>
      <c r="P342" s="1" t="s">
        <v>18</v>
      </c>
      <c r="Q342" s="2"/>
      <c r="R342" s="1"/>
      <c r="S342" s="1"/>
      <c r="T342" s="1"/>
      <c r="U342" t="str">
        <f>TEXT(Merge2[[#This Row],[ActivityDate]],"dddd")</f>
        <v>Friday</v>
      </c>
    </row>
    <row r="343" spans="1:21" x14ac:dyDescent="0.35">
      <c r="A343" s="1">
        <v>8053475328</v>
      </c>
      <c r="B343" s="2">
        <v>42468</v>
      </c>
      <c r="C343" s="1">
        <v>11693</v>
      </c>
      <c r="D343" s="1">
        <v>9.5399999619999996</v>
      </c>
      <c r="E343" s="1">
        <v>9.5399999619999996</v>
      </c>
      <c r="F343" s="1">
        <v>0</v>
      </c>
      <c r="G343" s="1">
        <v>6.7699999809999998</v>
      </c>
      <c r="H343" s="1">
        <v>0.25999999000000001</v>
      </c>
      <c r="I343" s="1">
        <v>2.5</v>
      </c>
      <c r="J343" s="1">
        <v>0</v>
      </c>
      <c r="K343" s="1">
        <v>60</v>
      </c>
      <c r="L343" s="1">
        <v>6</v>
      </c>
      <c r="M343" s="1">
        <v>153</v>
      </c>
      <c r="N343" s="1">
        <v>1221</v>
      </c>
      <c r="O343" s="1">
        <v>2790</v>
      </c>
      <c r="P343" s="1" t="s">
        <v>16</v>
      </c>
      <c r="Q343" s="2"/>
      <c r="R343" s="1"/>
      <c r="S343" s="1"/>
      <c r="T343" s="1"/>
      <c r="U343" t="str">
        <f>TEXT(Merge2[[#This Row],[ActivityDate]],"dddd")</f>
        <v>Friday</v>
      </c>
    </row>
    <row r="344" spans="1:21" x14ac:dyDescent="0.35">
      <c r="A344" s="1">
        <v>8253242879</v>
      </c>
      <c r="B344" s="2">
        <v>42468</v>
      </c>
      <c r="C344" s="1">
        <v>12026</v>
      </c>
      <c r="D344" s="1">
        <v>9.1499996190000008</v>
      </c>
      <c r="E344" s="1">
        <v>9.1499996190000008</v>
      </c>
      <c r="F344" s="1">
        <v>0</v>
      </c>
      <c r="G344" s="1">
        <v>5.6999998090000004</v>
      </c>
      <c r="H344" s="1">
        <v>0.93000000699999996</v>
      </c>
      <c r="I344" s="1">
        <v>2.5099999899999998</v>
      </c>
      <c r="J344" s="1">
        <v>0</v>
      </c>
      <c r="K344" s="1">
        <v>47</v>
      </c>
      <c r="L344" s="1">
        <v>13</v>
      </c>
      <c r="M344" s="1">
        <v>150</v>
      </c>
      <c r="N344" s="1">
        <v>1230</v>
      </c>
      <c r="O344" s="1">
        <v>2162</v>
      </c>
      <c r="P344" s="1" t="s">
        <v>16</v>
      </c>
      <c r="Q344" s="2"/>
      <c r="R344" s="1"/>
      <c r="S344" s="1"/>
      <c r="T344" s="1"/>
      <c r="U344" t="str">
        <f>TEXT(Merge2[[#This Row],[ActivityDate]],"dddd")</f>
        <v>Friday</v>
      </c>
    </row>
    <row r="345" spans="1:21" x14ac:dyDescent="0.35">
      <c r="A345" s="1">
        <v>8378563200</v>
      </c>
      <c r="B345" s="2">
        <v>42468</v>
      </c>
      <c r="C345" s="1">
        <v>8350</v>
      </c>
      <c r="D345" s="1">
        <v>6.6199998860000004</v>
      </c>
      <c r="E345" s="1">
        <v>6.6199998860000004</v>
      </c>
      <c r="F345" s="1">
        <v>2.0921471120000001</v>
      </c>
      <c r="G345" s="1">
        <v>1.4900000099999999</v>
      </c>
      <c r="H345" s="1">
        <v>0.52999997099999996</v>
      </c>
      <c r="I345" s="1">
        <v>4.6100001339999999</v>
      </c>
      <c r="J345" s="1">
        <v>0</v>
      </c>
      <c r="K345" s="1">
        <v>72</v>
      </c>
      <c r="L345" s="1">
        <v>10</v>
      </c>
      <c r="M345" s="1">
        <v>167</v>
      </c>
      <c r="N345" s="1">
        <v>868</v>
      </c>
      <c r="O345" s="1">
        <v>3713</v>
      </c>
      <c r="P345" s="1" t="s">
        <v>18</v>
      </c>
      <c r="Q345" s="2"/>
      <c r="R345" s="1"/>
      <c r="S345" s="1"/>
      <c r="T345" s="1"/>
      <c r="U345" t="str">
        <f>TEXT(Merge2[[#This Row],[ActivityDate]],"dddd")</f>
        <v>Friday</v>
      </c>
    </row>
    <row r="346" spans="1:21" x14ac:dyDescent="0.35">
      <c r="A346" s="1">
        <v>8583815059</v>
      </c>
      <c r="B346" s="2">
        <v>42468</v>
      </c>
      <c r="C346" s="1">
        <v>1408</v>
      </c>
      <c r="D346" s="1">
        <v>1.1000000240000001</v>
      </c>
      <c r="E346" s="1">
        <v>1.1000000240000001</v>
      </c>
      <c r="F346" s="1">
        <v>0</v>
      </c>
      <c r="G346" s="1">
        <v>0</v>
      </c>
      <c r="H346" s="1">
        <v>0</v>
      </c>
      <c r="I346" s="1">
        <v>1.1000000240000001</v>
      </c>
      <c r="J346" s="1">
        <v>0</v>
      </c>
      <c r="K346" s="1">
        <v>0</v>
      </c>
      <c r="L346" s="1">
        <v>0</v>
      </c>
      <c r="M346" s="1">
        <v>79</v>
      </c>
      <c r="N346" s="1">
        <v>1052</v>
      </c>
      <c r="O346" s="1">
        <v>1814</v>
      </c>
      <c r="P346" s="1" t="s">
        <v>17</v>
      </c>
      <c r="Q346" s="2"/>
      <c r="R346" s="1"/>
      <c r="S346" s="1"/>
      <c r="T346" s="1"/>
      <c r="U346" t="str">
        <f>TEXT(Merge2[[#This Row],[ActivityDate]],"dddd")</f>
        <v>Friday</v>
      </c>
    </row>
    <row r="347" spans="1:21" x14ac:dyDescent="0.35">
      <c r="A347" s="1">
        <v>8792009665</v>
      </c>
      <c r="B347" s="2">
        <v>42468</v>
      </c>
      <c r="C347" s="1">
        <v>1467</v>
      </c>
      <c r="D347" s="1">
        <v>0.939999998</v>
      </c>
      <c r="E347" s="1">
        <v>0.939999998</v>
      </c>
      <c r="F347" s="1">
        <v>0</v>
      </c>
      <c r="G347" s="1">
        <v>0.10000000100000001</v>
      </c>
      <c r="H347" s="1">
        <v>0.209999993</v>
      </c>
      <c r="I347" s="1">
        <v>0.62999999500000003</v>
      </c>
      <c r="J347" s="1">
        <v>0</v>
      </c>
      <c r="K347" s="1">
        <v>2</v>
      </c>
      <c r="L347" s="1">
        <v>8</v>
      </c>
      <c r="M347" s="1">
        <v>71</v>
      </c>
      <c r="N347" s="1">
        <v>912</v>
      </c>
      <c r="O347" s="1">
        <v>1953</v>
      </c>
      <c r="P347" s="1" t="s">
        <v>17</v>
      </c>
      <c r="Q347" s="2"/>
      <c r="R347" s="1"/>
      <c r="S347" s="1"/>
      <c r="T347" s="1"/>
      <c r="U347" t="str">
        <f>TEXT(Merge2[[#This Row],[ActivityDate]],"dddd")</f>
        <v>Friday</v>
      </c>
    </row>
    <row r="348" spans="1:21" x14ac:dyDescent="0.35">
      <c r="A348" s="1">
        <v>8877689391</v>
      </c>
      <c r="B348" s="2">
        <v>42468</v>
      </c>
      <c r="C348" s="1">
        <v>23014</v>
      </c>
      <c r="D348" s="1">
        <v>20.38999939</v>
      </c>
      <c r="E348" s="1">
        <v>20.38999939</v>
      </c>
      <c r="F348" s="1">
        <v>0</v>
      </c>
      <c r="G348" s="1">
        <v>11.100000380000001</v>
      </c>
      <c r="H348" s="1">
        <v>0.62999999500000003</v>
      </c>
      <c r="I348" s="1">
        <v>8.6199998860000004</v>
      </c>
      <c r="J348" s="1">
        <v>0</v>
      </c>
      <c r="K348" s="1">
        <v>70</v>
      </c>
      <c r="L348" s="1">
        <v>29</v>
      </c>
      <c r="M348" s="1">
        <v>359</v>
      </c>
      <c r="N348" s="1">
        <v>982</v>
      </c>
      <c r="O348" s="1">
        <v>4196</v>
      </c>
      <c r="P348" s="1" t="s">
        <v>16</v>
      </c>
      <c r="Q348" s="2"/>
      <c r="R348" s="1"/>
      <c r="S348" s="1"/>
      <c r="T348" s="1"/>
      <c r="U348" t="str">
        <f>TEXT(Merge2[[#This Row],[ActivityDate]],"dddd")</f>
        <v>Friday</v>
      </c>
    </row>
    <row r="349" spans="1:21" x14ac:dyDescent="0.35">
      <c r="A349" s="1">
        <v>1503960366</v>
      </c>
      <c r="B349" s="2">
        <v>42469</v>
      </c>
      <c r="C349" s="1">
        <v>12432</v>
      </c>
      <c r="D349" s="1">
        <v>8.1000003809999992</v>
      </c>
      <c r="E349" s="1">
        <v>8.1000003809999992</v>
      </c>
      <c r="F349" s="1">
        <v>0</v>
      </c>
      <c r="G349" s="1">
        <v>2.5899999139999998</v>
      </c>
      <c r="H349" s="1">
        <v>0.58999997400000004</v>
      </c>
      <c r="I349" s="1">
        <v>4.920000076</v>
      </c>
      <c r="J349" s="1">
        <v>0</v>
      </c>
      <c r="K349" s="1">
        <v>32</v>
      </c>
      <c r="L349" s="1">
        <v>15</v>
      </c>
      <c r="M349" s="1">
        <v>248</v>
      </c>
      <c r="N349" s="1">
        <v>738</v>
      </c>
      <c r="O349" s="1">
        <v>1883</v>
      </c>
      <c r="P349" s="1" t="s">
        <v>16</v>
      </c>
      <c r="Q349" s="2"/>
      <c r="R349" s="1"/>
      <c r="S349" s="1"/>
      <c r="T349" s="1"/>
      <c r="U349" t="str">
        <f>TEXT(Merge2[[#This Row],[ActivityDate]],"dddd")</f>
        <v>Saturday</v>
      </c>
    </row>
    <row r="350" spans="1:21" x14ac:dyDescent="0.35">
      <c r="A350" s="1">
        <v>1624580081</v>
      </c>
      <c r="B350" s="2">
        <v>42469</v>
      </c>
      <c r="C350" s="1">
        <v>3572</v>
      </c>
      <c r="D350" s="1">
        <v>2.3199999330000001</v>
      </c>
      <c r="E350" s="1">
        <v>2.3199999330000001</v>
      </c>
      <c r="F350" s="1">
        <v>0</v>
      </c>
      <c r="G350" s="1">
        <v>0</v>
      </c>
      <c r="H350" s="1">
        <v>0</v>
      </c>
      <c r="I350" s="1">
        <v>2.289999962</v>
      </c>
      <c r="J350" s="1">
        <v>2.9999998999999999E-2</v>
      </c>
      <c r="K350" s="1">
        <v>0</v>
      </c>
      <c r="L350" s="1">
        <v>0</v>
      </c>
      <c r="M350" s="1">
        <v>122</v>
      </c>
      <c r="N350" s="1">
        <v>1318</v>
      </c>
      <c r="O350" s="1">
        <v>1370</v>
      </c>
      <c r="P350" s="1" t="s">
        <v>17</v>
      </c>
      <c r="Q350" s="2"/>
      <c r="R350" s="1"/>
      <c r="S350" s="1"/>
      <c r="T350" s="1"/>
      <c r="U350" t="str">
        <f>TEXT(Merge2[[#This Row],[ActivityDate]],"dddd")</f>
        <v>Saturday</v>
      </c>
    </row>
    <row r="351" spans="1:21" x14ac:dyDescent="0.35">
      <c r="A351" s="1">
        <v>1644430081</v>
      </c>
      <c r="B351" s="2">
        <v>42469</v>
      </c>
      <c r="C351" s="1">
        <v>13840</v>
      </c>
      <c r="D351" s="1">
        <v>10.06000042</v>
      </c>
      <c r="E351" s="1">
        <v>10.06000042</v>
      </c>
      <c r="F351" s="1">
        <v>0</v>
      </c>
      <c r="G351" s="1">
        <v>1.309999943</v>
      </c>
      <c r="H351" s="1">
        <v>3.7200000289999999</v>
      </c>
      <c r="I351" s="1">
        <v>5.0300002099999999</v>
      </c>
      <c r="J351" s="1">
        <v>0</v>
      </c>
      <c r="K351" s="1">
        <v>18</v>
      </c>
      <c r="L351" s="1">
        <v>81</v>
      </c>
      <c r="M351" s="1">
        <v>192</v>
      </c>
      <c r="N351" s="1">
        <v>1149</v>
      </c>
      <c r="O351" s="1">
        <v>3290</v>
      </c>
      <c r="P351" s="1" t="s">
        <v>16</v>
      </c>
      <c r="Q351" s="2"/>
      <c r="R351" s="1"/>
      <c r="S351" s="1"/>
      <c r="T351" s="1"/>
      <c r="U351" t="str">
        <f>TEXT(Merge2[[#This Row],[ActivityDate]],"dddd")</f>
        <v>Saturday</v>
      </c>
    </row>
    <row r="352" spans="1:21" x14ac:dyDescent="0.35">
      <c r="A352" s="1">
        <v>1844505072</v>
      </c>
      <c r="B352" s="2">
        <v>42469</v>
      </c>
      <c r="C352" s="1">
        <v>4979</v>
      </c>
      <c r="D352" s="1">
        <v>3.289999962</v>
      </c>
      <c r="E352" s="1">
        <v>3.289999962</v>
      </c>
      <c r="F352" s="1">
        <v>0</v>
      </c>
      <c r="G352" s="1">
        <v>0</v>
      </c>
      <c r="H352" s="1">
        <v>0</v>
      </c>
      <c r="I352" s="1">
        <v>3.289999962</v>
      </c>
      <c r="J352" s="1">
        <v>0</v>
      </c>
      <c r="K352" s="1">
        <v>0</v>
      </c>
      <c r="L352" s="1">
        <v>0</v>
      </c>
      <c r="M352" s="1">
        <v>184</v>
      </c>
      <c r="N352" s="1">
        <v>620</v>
      </c>
      <c r="O352" s="1">
        <v>1807</v>
      </c>
      <c r="P352" s="1" t="s">
        <v>17</v>
      </c>
      <c r="Q352" s="2"/>
      <c r="R352" s="1"/>
      <c r="S352" s="1"/>
      <c r="T352" s="1"/>
      <c r="U352" t="str">
        <f>TEXT(Merge2[[#This Row],[ActivityDate]],"dddd")</f>
        <v>Saturday</v>
      </c>
    </row>
    <row r="353" spans="1:21" x14ac:dyDescent="0.35">
      <c r="A353" s="1">
        <v>1927972279</v>
      </c>
      <c r="B353" s="2">
        <v>42469</v>
      </c>
      <c r="C353" s="1">
        <v>2523</v>
      </c>
      <c r="D353" s="1">
        <v>1.75</v>
      </c>
      <c r="E353" s="1">
        <v>1.75</v>
      </c>
      <c r="F353" s="1">
        <v>0</v>
      </c>
      <c r="G353" s="1">
        <v>0</v>
      </c>
      <c r="H353" s="1">
        <v>0.37000000500000002</v>
      </c>
      <c r="I353" s="1">
        <v>1.3799999949999999</v>
      </c>
      <c r="J353" s="1">
        <v>0</v>
      </c>
      <c r="K353" s="1">
        <v>0</v>
      </c>
      <c r="L353" s="1">
        <v>9</v>
      </c>
      <c r="M353" s="1">
        <v>134</v>
      </c>
      <c r="N353" s="1">
        <v>1250</v>
      </c>
      <c r="O353" s="1">
        <v>2443</v>
      </c>
      <c r="P353" s="1" t="s">
        <v>17</v>
      </c>
      <c r="Q353" s="2"/>
      <c r="R353" s="1"/>
      <c r="S353" s="1"/>
      <c r="T353" s="1"/>
      <c r="U353" t="str">
        <f>TEXT(Merge2[[#This Row],[ActivityDate]],"dddd")</f>
        <v>Saturday</v>
      </c>
    </row>
    <row r="354" spans="1:21" x14ac:dyDescent="0.35">
      <c r="A354" s="1">
        <v>2022484408</v>
      </c>
      <c r="B354" s="2">
        <v>42469</v>
      </c>
      <c r="C354" s="1">
        <v>16267</v>
      </c>
      <c r="D354" s="1">
        <v>12.59000015</v>
      </c>
      <c r="E354" s="1">
        <v>12.59000015</v>
      </c>
      <c r="F354" s="1">
        <v>0</v>
      </c>
      <c r="G354" s="1">
        <v>5.75</v>
      </c>
      <c r="H354" s="1">
        <v>0.469999999</v>
      </c>
      <c r="I354" s="1">
        <v>6.3699998860000004</v>
      </c>
      <c r="J354" s="1">
        <v>0</v>
      </c>
      <c r="K354" s="1">
        <v>44</v>
      </c>
      <c r="L354" s="1">
        <v>16</v>
      </c>
      <c r="M354" s="1">
        <v>302</v>
      </c>
      <c r="N354" s="1">
        <v>1078</v>
      </c>
      <c r="O354" s="1">
        <v>2811</v>
      </c>
      <c r="P354" s="1" t="s">
        <v>16</v>
      </c>
      <c r="Q354" s="2"/>
      <c r="R354" s="1"/>
      <c r="S354" s="1"/>
      <c r="T354" s="1"/>
      <c r="U354" t="str">
        <f>TEXT(Merge2[[#This Row],[ActivityDate]],"dddd")</f>
        <v>Saturday</v>
      </c>
    </row>
    <row r="355" spans="1:21" x14ac:dyDescent="0.35">
      <c r="A355" s="1">
        <v>2026352035</v>
      </c>
      <c r="B355" s="2">
        <v>42469</v>
      </c>
      <c r="C355" s="1">
        <v>3098</v>
      </c>
      <c r="D355" s="1">
        <v>1.9199999569999999</v>
      </c>
      <c r="E355" s="1">
        <v>1.9199999569999999</v>
      </c>
      <c r="F355" s="1">
        <v>0</v>
      </c>
      <c r="G355" s="1">
        <v>0</v>
      </c>
      <c r="H355" s="1">
        <v>0</v>
      </c>
      <c r="I355" s="1">
        <v>1.9199999569999999</v>
      </c>
      <c r="J355" s="1">
        <v>0</v>
      </c>
      <c r="K355" s="1">
        <v>0</v>
      </c>
      <c r="L355" s="1">
        <v>0</v>
      </c>
      <c r="M355" s="1">
        <v>185</v>
      </c>
      <c r="N355" s="1">
        <v>700</v>
      </c>
      <c r="O355" s="1">
        <v>1413</v>
      </c>
      <c r="P355" s="1" t="s">
        <v>17</v>
      </c>
      <c r="Q355" s="2"/>
      <c r="R355" s="1"/>
      <c r="S355" s="1"/>
      <c r="T355" s="1"/>
      <c r="U355" t="str">
        <f>TEXT(Merge2[[#This Row],[ActivityDate]],"dddd")</f>
        <v>Saturday</v>
      </c>
    </row>
    <row r="356" spans="1:21" x14ac:dyDescent="0.35">
      <c r="A356" s="1">
        <v>2320127002</v>
      </c>
      <c r="B356" s="2">
        <v>42469</v>
      </c>
      <c r="C356" s="1">
        <v>4863</v>
      </c>
      <c r="D356" s="1">
        <v>3.2799999710000001</v>
      </c>
      <c r="E356" s="1">
        <v>3.2799999710000001</v>
      </c>
      <c r="F356" s="1">
        <v>0</v>
      </c>
      <c r="G356" s="1">
        <v>5.9999998999999998E-2</v>
      </c>
      <c r="H356" s="1">
        <v>0.41999998700000002</v>
      </c>
      <c r="I356" s="1">
        <v>2.7999999519999998</v>
      </c>
      <c r="J356" s="1">
        <v>0</v>
      </c>
      <c r="K356" s="1">
        <v>1</v>
      </c>
      <c r="L356" s="1">
        <v>11</v>
      </c>
      <c r="M356" s="1">
        <v>208</v>
      </c>
      <c r="N356" s="1">
        <v>1220</v>
      </c>
      <c r="O356" s="1">
        <v>1772</v>
      </c>
      <c r="P356" s="1" t="s">
        <v>17</v>
      </c>
      <c r="Q356" s="2"/>
      <c r="R356" s="1"/>
      <c r="S356" s="1"/>
      <c r="T356" s="1"/>
      <c r="U356" t="str">
        <f>TEXT(Merge2[[#This Row],[ActivityDate]],"dddd")</f>
        <v>Saturday</v>
      </c>
    </row>
    <row r="357" spans="1:21" x14ac:dyDescent="0.35">
      <c r="A357" s="1">
        <v>2347167796</v>
      </c>
      <c r="B357" s="2">
        <v>42469</v>
      </c>
      <c r="C357" s="1">
        <v>16081</v>
      </c>
      <c r="D357" s="1">
        <v>10.630000109999999</v>
      </c>
      <c r="E357" s="1">
        <v>10.630000109999999</v>
      </c>
      <c r="F357" s="1">
        <v>0</v>
      </c>
      <c r="G357" s="1">
        <v>1.25</v>
      </c>
      <c r="H357" s="1">
        <v>1.8200000519999999</v>
      </c>
      <c r="I357" s="1">
        <v>7.5599999430000002</v>
      </c>
      <c r="J357" s="1">
        <v>0</v>
      </c>
      <c r="K357" s="1">
        <v>16</v>
      </c>
      <c r="L357" s="1">
        <v>32</v>
      </c>
      <c r="M357" s="1">
        <v>401</v>
      </c>
      <c r="N357" s="1">
        <v>970</v>
      </c>
      <c r="O357" s="1">
        <v>2488</v>
      </c>
      <c r="P357" s="1" t="s">
        <v>16</v>
      </c>
      <c r="Q357" s="2"/>
      <c r="R357" s="1"/>
      <c r="S357" s="1"/>
      <c r="T357" s="1"/>
      <c r="U357" t="str">
        <f>TEXT(Merge2[[#This Row],[ActivityDate]],"dddd")</f>
        <v>Saturday</v>
      </c>
    </row>
    <row r="358" spans="1:21" x14ac:dyDescent="0.35">
      <c r="A358" s="1">
        <v>2873212765</v>
      </c>
      <c r="B358" s="2">
        <v>42469</v>
      </c>
      <c r="C358" s="1">
        <v>14103</v>
      </c>
      <c r="D358" s="1">
        <v>9.5600004199999997</v>
      </c>
      <c r="E358" s="1">
        <v>9.5600004199999997</v>
      </c>
      <c r="F358" s="1">
        <v>0</v>
      </c>
      <c r="G358" s="1">
        <v>3.0199999809999998</v>
      </c>
      <c r="H358" s="1">
        <v>0.40999999599999998</v>
      </c>
      <c r="I358" s="1">
        <v>6.1399998660000001</v>
      </c>
      <c r="J358" s="1">
        <v>0.01</v>
      </c>
      <c r="K358" s="1">
        <v>46</v>
      </c>
      <c r="L358" s="1">
        <v>8</v>
      </c>
      <c r="M358" s="1">
        <v>288</v>
      </c>
      <c r="N358" s="1">
        <v>1098</v>
      </c>
      <c r="O358" s="1">
        <v>2257</v>
      </c>
      <c r="P358" s="1" t="s">
        <v>16</v>
      </c>
      <c r="Q358" s="2"/>
      <c r="R358" s="1"/>
      <c r="S358" s="1"/>
      <c r="T358" s="1"/>
      <c r="U358" t="str">
        <f>TEXT(Merge2[[#This Row],[ActivityDate]],"dddd")</f>
        <v>Saturday</v>
      </c>
    </row>
    <row r="359" spans="1:21" x14ac:dyDescent="0.35">
      <c r="A359" s="1">
        <v>3372868164</v>
      </c>
      <c r="B359" s="2">
        <v>42469</v>
      </c>
      <c r="C359" s="1">
        <v>8827</v>
      </c>
      <c r="D359" s="1">
        <v>6.25</v>
      </c>
      <c r="E359" s="1">
        <v>6.25</v>
      </c>
      <c r="F359" s="1">
        <v>0</v>
      </c>
      <c r="G359" s="1">
        <v>1.769999981</v>
      </c>
      <c r="H359" s="1">
        <v>0.47999998900000002</v>
      </c>
      <c r="I359" s="1">
        <v>4</v>
      </c>
      <c r="J359" s="1">
        <v>0.01</v>
      </c>
      <c r="K359" s="1">
        <v>21</v>
      </c>
      <c r="L359" s="1">
        <v>10</v>
      </c>
      <c r="M359" s="1">
        <v>346</v>
      </c>
      <c r="N359" s="1">
        <v>1063</v>
      </c>
      <c r="O359" s="1">
        <v>2062</v>
      </c>
      <c r="P359" s="1" t="s">
        <v>18</v>
      </c>
      <c r="Q359" s="2"/>
      <c r="R359" s="1"/>
      <c r="S359" s="1"/>
      <c r="T359" s="1"/>
      <c r="U359" t="str">
        <f>TEXT(Merge2[[#This Row],[ActivityDate]],"dddd")</f>
        <v>Saturday</v>
      </c>
    </row>
    <row r="360" spans="1:21" x14ac:dyDescent="0.35">
      <c r="A360" s="1">
        <v>3977333714</v>
      </c>
      <c r="B360" s="2">
        <v>42469</v>
      </c>
      <c r="C360" s="1">
        <v>14583</v>
      </c>
      <c r="D360" s="1">
        <v>9.7600002289999992</v>
      </c>
      <c r="E360" s="1">
        <v>9.7600002289999992</v>
      </c>
      <c r="F360" s="1">
        <v>0</v>
      </c>
      <c r="G360" s="1">
        <v>2.4800000190000002</v>
      </c>
      <c r="H360" s="1">
        <v>1.7400000099999999</v>
      </c>
      <c r="I360" s="1">
        <v>5.5300002099999999</v>
      </c>
      <c r="J360" s="1">
        <v>0</v>
      </c>
      <c r="K360" s="1">
        <v>35</v>
      </c>
      <c r="L360" s="1">
        <v>36</v>
      </c>
      <c r="M360" s="1">
        <v>254</v>
      </c>
      <c r="N360" s="1">
        <v>697</v>
      </c>
      <c r="O360" s="1">
        <v>1697</v>
      </c>
      <c r="P360" s="1" t="s">
        <v>16</v>
      </c>
      <c r="Q360" s="2"/>
      <c r="R360" s="1"/>
      <c r="S360" s="1"/>
      <c r="T360" s="1"/>
      <c r="U360" t="str">
        <f>TEXT(Merge2[[#This Row],[ActivityDate]],"dddd")</f>
        <v>Saturday</v>
      </c>
    </row>
    <row r="361" spans="1:21" x14ac:dyDescent="0.35">
      <c r="A361" s="1">
        <v>4020332650</v>
      </c>
      <c r="B361" s="2">
        <v>42469</v>
      </c>
      <c r="C361" s="1">
        <v>7734</v>
      </c>
      <c r="D361" s="1">
        <v>5.5500001909999996</v>
      </c>
      <c r="E361" s="1">
        <v>5.5500001909999996</v>
      </c>
      <c r="F361" s="1">
        <v>0</v>
      </c>
      <c r="G361" s="1">
        <v>1.1599999670000001</v>
      </c>
      <c r="H361" s="1">
        <v>0.49000000999999999</v>
      </c>
      <c r="I361" s="1">
        <v>3.8199999330000001</v>
      </c>
      <c r="J361" s="1">
        <v>5.9999998999999998E-2</v>
      </c>
      <c r="K361" s="1">
        <v>20</v>
      </c>
      <c r="L361" s="1">
        <v>12</v>
      </c>
      <c r="M361" s="1">
        <v>223</v>
      </c>
      <c r="N361" s="1">
        <v>1185</v>
      </c>
      <c r="O361" s="1">
        <v>3264</v>
      </c>
      <c r="P361" s="1" t="s">
        <v>18</v>
      </c>
      <c r="Q361" s="2"/>
      <c r="R361" s="1"/>
      <c r="S361" s="1"/>
      <c r="T361" s="1"/>
      <c r="U361" t="str">
        <f>TEXT(Merge2[[#This Row],[ActivityDate]],"dddd")</f>
        <v>Saturday</v>
      </c>
    </row>
    <row r="362" spans="1:21" x14ac:dyDescent="0.35">
      <c r="A362" s="1">
        <v>4057192912</v>
      </c>
      <c r="B362" s="2">
        <v>42469</v>
      </c>
      <c r="C362" s="1">
        <v>1650</v>
      </c>
      <c r="D362" s="1">
        <v>1.210000038</v>
      </c>
      <c r="E362" s="1">
        <v>1.210000038</v>
      </c>
      <c r="F362" s="1">
        <v>0</v>
      </c>
      <c r="G362" s="1">
        <v>0</v>
      </c>
      <c r="H362" s="1">
        <v>0</v>
      </c>
      <c r="I362" s="1">
        <v>1.210000038</v>
      </c>
      <c r="J362" s="1">
        <v>0</v>
      </c>
      <c r="K362" s="1">
        <v>0</v>
      </c>
      <c r="L362" s="1">
        <v>0</v>
      </c>
      <c r="M362" s="1">
        <v>60</v>
      </c>
      <c r="N362" s="1">
        <v>1380</v>
      </c>
      <c r="O362" s="1">
        <v>1952</v>
      </c>
      <c r="P362" s="1" t="s">
        <v>17</v>
      </c>
      <c r="Q362" s="2"/>
      <c r="R362" s="1"/>
      <c r="S362" s="1"/>
      <c r="T362" s="1"/>
      <c r="U362" t="str">
        <f>TEXT(Merge2[[#This Row],[ActivityDate]],"dddd")</f>
        <v>Saturday</v>
      </c>
    </row>
    <row r="363" spans="1:21" x14ac:dyDescent="0.35">
      <c r="A363" s="1">
        <v>4319703577</v>
      </c>
      <c r="B363" s="2">
        <v>42469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1440</v>
      </c>
      <c r="O363" s="1">
        <v>0</v>
      </c>
      <c r="P363" s="1" t="s">
        <v>17</v>
      </c>
      <c r="Q363" s="2"/>
      <c r="R363" s="1"/>
      <c r="S363" s="1"/>
      <c r="T363" s="1"/>
      <c r="U363" t="str">
        <f>TEXT(Merge2[[#This Row],[ActivityDate]],"dddd")</f>
        <v>Saturday</v>
      </c>
    </row>
    <row r="364" spans="1:21" x14ac:dyDescent="0.35">
      <c r="A364" s="1">
        <v>4445114986</v>
      </c>
      <c r="B364" s="2">
        <v>42469</v>
      </c>
      <c r="C364" s="1">
        <v>4195</v>
      </c>
      <c r="D364" s="1">
        <v>2.8099999430000002</v>
      </c>
      <c r="E364" s="1">
        <v>2.8099999430000002</v>
      </c>
      <c r="F364" s="1">
        <v>0</v>
      </c>
      <c r="G364" s="1">
        <v>0</v>
      </c>
      <c r="H364" s="1">
        <v>0</v>
      </c>
      <c r="I364" s="1">
        <v>2.8099999430000002</v>
      </c>
      <c r="J364" s="1">
        <v>0</v>
      </c>
      <c r="K364" s="1">
        <v>0</v>
      </c>
      <c r="L364" s="1">
        <v>0</v>
      </c>
      <c r="M364" s="1">
        <v>239</v>
      </c>
      <c r="N364" s="1">
        <v>758</v>
      </c>
      <c r="O364" s="1">
        <v>2210</v>
      </c>
      <c r="P364" s="1" t="s">
        <v>17</v>
      </c>
      <c r="Q364" s="2"/>
      <c r="R364" s="1"/>
      <c r="S364" s="1"/>
      <c r="T364" s="1"/>
      <c r="U364" t="str">
        <f>TEXT(Merge2[[#This Row],[ActivityDate]],"dddd")</f>
        <v>Saturday</v>
      </c>
    </row>
    <row r="365" spans="1:21" x14ac:dyDescent="0.35">
      <c r="A365" s="1">
        <v>4558609924</v>
      </c>
      <c r="B365" s="2">
        <v>42469</v>
      </c>
      <c r="C365" s="1">
        <v>5512</v>
      </c>
      <c r="D365" s="1">
        <v>3.6400001049999999</v>
      </c>
      <c r="E365" s="1">
        <v>3.6400001049999999</v>
      </c>
      <c r="F365" s="1">
        <v>0</v>
      </c>
      <c r="G365" s="1">
        <v>0</v>
      </c>
      <c r="H365" s="1">
        <v>0</v>
      </c>
      <c r="I365" s="1">
        <v>3.6400001049999999</v>
      </c>
      <c r="J365" s="1">
        <v>0</v>
      </c>
      <c r="K365" s="1">
        <v>0</v>
      </c>
      <c r="L365" s="1">
        <v>0</v>
      </c>
      <c r="M365" s="1">
        <v>276</v>
      </c>
      <c r="N365" s="1">
        <v>1164</v>
      </c>
      <c r="O365" s="1">
        <v>1882</v>
      </c>
      <c r="P365" s="1" t="s">
        <v>19</v>
      </c>
      <c r="Q365" s="2"/>
      <c r="R365" s="1"/>
      <c r="S365" s="1"/>
      <c r="T365" s="1"/>
      <c r="U365" t="str">
        <f>TEXT(Merge2[[#This Row],[ActivityDate]],"dddd")</f>
        <v>Saturday</v>
      </c>
    </row>
    <row r="366" spans="1:21" x14ac:dyDescent="0.35">
      <c r="A366" s="1">
        <v>4702921684</v>
      </c>
      <c r="B366" s="2">
        <v>42469</v>
      </c>
      <c r="C366" s="1">
        <v>14002</v>
      </c>
      <c r="D366" s="1">
        <v>11.35999966</v>
      </c>
      <c r="E366" s="1">
        <v>11.35999966</v>
      </c>
      <c r="F366" s="1">
        <v>0</v>
      </c>
      <c r="G366" s="1">
        <v>0.61000001400000003</v>
      </c>
      <c r="H366" s="1">
        <v>2.6800000669999999</v>
      </c>
      <c r="I366" s="1">
        <v>8.0600004199999997</v>
      </c>
      <c r="J366" s="1">
        <v>0</v>
      </c>
      <c r="K366" s="1">
        <v>8</v>
      </c>
      <c r="L366" s="1">
        <v>56</v>
      </c>
      <c r="M366" s="1">
        <v>381</v>
      </c>
      <c r="N366" s="1">
        <v>407</v>
      </c>
      <c r="O366" s="1">
        <v>3597</v>
      </c>
      <c r="P366" s="1" t="s">
        <v>16</v>
      </c>
      <c r="Q366" s="2"/>
      <c r="R366" s="1"/>
      <c r="S366" s="1"/>
      <c r="T366" s="1"/>
      <c r="U366" t="str">
        <f>TEXT(Merge2[[#This Row],[ActivityDate]],"dddd")</f>
        <v>Saturday</v>
      </c>
    </row>
    <row r="367" spans="1:21" x14ac:dyDescent="0.35">
      <c r="A367" s="1">
        <v>5553957443</v>
      </c>
      <c r="B367" s="2">
        <v>42469</v>
      </c>
      <c r="C367" s="1">
        <v>4599</v>
      </c>
      <c r="D367" s="1">
        <v>3</v>
      </c>
      <c r="E367" s="1">
        <v>3</v>
      </c>
      <c r="F367" s="1">
        <v>0</v>
      </c>
      <c r="G367" s="1">
        <v>0</v>
      </c>
      <c r="H367" s="1">
        <v>0</v>
      </c>
      <c r="I367" s="1">
        <v>3</v>
      </c>
      <c r="J367" s="1">
        <v>0</v>
      </c>
      <c r="K367" s="1">
        <v>0</v>
      </c>
      <c r="L367" s="1">
        <v>0</v>
      </c>
      <c r="M367" s="1">
        <v>176</v>
      </c>
      <c r="N367" s="1">
        <v>578</v>
      </c>
      <c r="O367" s="1">
        <v>1692</v>
      </c>
      <c r="P367" s="1" t="s">
        <v>17</v>
      </c>
      <c r="Q367" s="2"/>
      <c r="R367" s="1"/>
      <c r="S367" s="1"/>
      <c r="T367" s="1"/>
      <c r="U367" t="str">
        <f>TEXT(Merge2[[#This Row],[ActivityDate]],"dddd")</f>
        <v>Saturday</v>
      </c>
    </row>
    <row r="368" spans="1:21" x14ac:dyDescent="0.35">
      <c r="A368" s="1">
        <v>5577150313</v>
      </c>
      <c r="B368" s="2">
        <v>42469</v>
      </c>
      <c r="C368" s="1">
        <v>10494</v>
      </c>
      <c r="D368" s="1">
        <v>7.8400001530000001</v>
      </c>
      <c r="E368" s="1">
        <v>7.8400001530000001</v>
      </c>
      <c r="F368" s="1">
        <v>0</v>
      </c>
      <c r="G368" s="1">
        <v>4.9099998469999999</v>
      </c>
      <c r="H368" s="1">
        <v>0.77999997099999996</v>
      </c>
      <c r="I368" s="1">
        <v>2.1500000950000002</v>
      </c>
      <c r="J368" s="1">
        <v>0</v>
      </c>
      <c r="K368" s="1">
        <v>123</v>
      </c>
      <c r="L368" s="1">
        <v>62</v>
      </c>
      <c r="M368" s="1">
        <v>138</v>
      </c>
      <c r="N368" s="1">
        <v>601</v>
      </c>
      <c r="O368" s="1">
        <v>3817</v>
      </c>
      <c r="P368" s="1" t="s">
        <v>16</v>
      </c>
      <c r="Q368" s="2"/>
      <c r="R368" s="1"/>
      <c r="S368" s="1"/>
      <c r="T368" s="1"/>
      <c r="U368" t="str">
        <f>TEXT(Merge2[[#This Row],[ActivityDate]],"dddd")</f>
        <v>Saturday</v>
      </c>
    </row>
    <row r="369" spans="1:21" x14ac:dyDescent="0.35">
      <c r="A369" s="1">
        <v>6117666160</v>
      </c>
      <c r="B369" s="2">
        <v>42469</v>
      </c>
      <c r="C369" s="1">
        <v>10789</v>
      </c>
      <c r="D369" s="1">
        <v>8.1499996190000008</v>
      </c>
      <c r="E369" s="1">
        <v>8.1499996190000008</v>
      </c>
      <c r="F369" s="1">
        <v>0</v>
      </c>
      <c r="G369" s="1">
        <v>0</v>
      </c>
      <c r="H369" s="1">
        <v>0</v>
      </c>
      <c r="I369" s="1">
        <v>8.1499996190000008</v>
      </c>
      <c r="J369" s="1">
        <v>0</v>
      </c>
      <c r="K369" s="1">
        <v>0</v>
      </c>
      <c r="L369" s="1">
        <v>0</v>
      </c>
      <c r="M369" s="1">
        <v>506</v>
      </c>
      <c r="N369" s="1">
        <v>413</v>
      </c>
      <c r="O369" s="1">
        <v>2617</v>
      </c>
      <c r="P369" s="1" t="s">
        <v>16</v>
      </c>
      <c r="Q369" s="2"/>
      <c r="R369" s="1"/>
      <c r="S369" s="1"/>
      <c r="T369" s="1"/>
      <c r="U369" t="str">
        <f>TEXT(Merge2[[#This Row],[ActivityDate]],"dddd")</f>
        <v>Saturday</v>
      </c>
    </row>
    <row r="370" spans="1:21" x14ac:dyDescent="0.35">
      <c r="A370" s="1">
        <v>6290855005</v>
      </c>
      <c r="B370" s="2">
        <v>42469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1440</v>
      </c>
      <c r="O370" s="1">
        <v>2060</v>
      </c>
      <c r="P370" s="1" t="s">
        <v>17</v>
      </c>
      <c r="Q370" s="2"/>
      <c r="R370" s="1"/>
      <c r="S370" s="1"/>
      <c r="T370" s="1"/>
      <c r="U370" t="str">
        <f>TEXT(Merge2[[#This Row],[ActivityDate]],"dddd")</f>
        <v>Saturday</v>
      </c>
    </row>
    <row r="371" spans="1:21" x14ac:dyDescent="0.35">
      <c r="A371" s="1">
        <v>6391747486</v>
      </c>
      <c r="B371" s="2">
        <v>42469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198</v>
      </c>
      <c r="O371" s="1">
        <v>251</v>
      </c>
      <c r="P371" s="1" t="s">
        <v>17</v>
      </c>
      <c r="Q371" s="2"/>
      <c r="R371" s="1"/>
      <c r="S371" s="1"/>
      <c r="T371" s="1"/>
      <c r="U371" t="str">
        <f>TEXT(Merge2[[#This Row],[ActivityDate]],"dddd")</f>
        <v>Saturday</v>
      </c>
    </row>
    <row r="372" spans="1:21" x14ac:dyDescent="0.35">
      <c r="A372" s="1">
        <v>6775888955</v>
      </c>
      <c r="B372" s="2">
        <v>42469</v>
      </c>
      <c r="C372" s="1">
        <v>14</v>
      </c>
      <c r="D372" s="1">
        <v>0.01</v>
      </c>
      <c r="E372" s="1">
        <v>0.01</v>
      </c>
      <c r="F372" s="1">
        <v>0</v>
      </c>
      <c r="G372" s="1">
        <v>0</v>
      </c>
      <c r="H372" s="1">
        <v>0</v>
      </c>
      <c r="I372" s="1">
        <v>0.01</v>
      </c>
      <c r="J372" s="1">
        <v>0</v>
      </c>
      <c r="K372" s="1">
        <v>0</v>
      </c>
      <c r="L372" s="1">
        <v>0</v>
      </c>
      <c r="M372" s="1">
        <v>1</v>
      </c>
      <c r="N372" s="1">
        <v>601</v>
      </c>
      <c r="O372" s="1">
        <v>787</v>
      </c>
      <c r="P372" s="1" t="s">
        <v>17</v>
      </c>
      <c r="Q372" s="2"/>
      <c r="R372" s="1"/>
      <c r="S372" s="1"/>
      <c r="T372" s="1"/>
      <c r="U372" t="str">
        <f>TEXT(Merge2[[#This Row],[ActivityDate]],"dddd")</f>
        <v>Saturday</v>
      </c>
    </row>
    <row r="373" spans="1:21" x14ac:dyDescent="0.35">
      <c r="A373" s="1">
        <v>6962181067</v>
      </c>
      <c r="B373" s="2">
        <v>42469</v>
      </c>
      <c r="C373" s="1">
        <v>12495</v>
      </c>
      <c r="D373" s="1">
        <v>8.2600002289999992</v>
      </c>
      <c r="E373" s="1">
        <v>8.2600002289999992</v>
      </c>
      <c r="F373" s="1">
        <v>0</v>
      </c>
      <c r="G373" s="1">
        <v>2.210000038</v>
      </c>
      <c r="H373" s="1">
        <v>1.0900000329999999</v>
      </c>
      <c r="I373" s="1">
        <v>4.9600000380000004</v>
      </c>
      <c r="J373" s="1">
        <v>0</v>
      </c>
      <c r="K373" s="1">
        <v>33</v>
      </c>
      <c r="L373" s="1">
        <v>19</v>
      </c>
      <c r="M373" s="1">
        <v>324</v>
      </c>
      <c r="N373" s="1">
        <v>609</v>
      </c>
      <c r="O373" s="1">
        <v>2231</v>
      </c>
      <c r="P373" s="1" t="s">
        <v>16</v>
      </c>
      <c r="Q373" s="2"/>
      <c r="R373" s="1"/>
      <c r="S373" s="1"/>
      <c r="T373" s="1"/>
      <c r="U373" t="str">
        <f>TEXT(Merge2[[#This Row],[ActivityDate]],"dddd")</f>
        <v>Saturday</v>
      </c>
    </row>
    <row r="374" spans="1:21" x14ac:dyDescent="0.35">
      <c r="A374" s="1">
        <v>7007744171</v>
      </c>
      <c r="B374" s="2">
        <v>42469</v>
      </c>
      <c r="C374" s="1">
        <v>10345</v>
      </c>
      <c r="D374" s="1">
        <v>6.920000076</v>
      </c>
      <c r="E374" s="1">
        <v>6.920000076</v>
      </c>
      <c r="F374" s="1">
        <v>0</v>
      </c>
      <c r="G374" s="1">
        <v>7.0000000000000007E-2</v>
      </c>
      <c r="H374" s="1">
        <v>0.27000001099999998</v>
      </c>
      <c r="I374" s="1">
        <v>6.579999924</v>
      </c>
      <c r="J374" s="1">
        <v>0</v>
      </c>
      <c r="K374" s="1">
        <v>2</v>
      </c>
      <c r="L374" s="1">
        <v>6</v>
      </c>
      <c r="M374" s="1">
        <v>358</v>
      </c>
      <c r="N374" s="1">
        <v>1074</v>
      </c>
      <c r="O374" s="1">
        <v>2613</v>
      </c>
      <c r="P374" s="1" t="s">
        <v>16</v>
      </c>
      <c r="Q374" s="2"/>
      <c r="R374" s="1"/>
      <c r="S374" s="1"/>
      <c r="T374" s="1"/>
      <c r="U374" t="str">
        <f>TEXT(Merge2[[#This Row],[ActivityDate]],"dddd")</f>
        <v>Saturday</v>
      </c>
    </row>
    <row r="375" spans="1:21" x14ac:dyDescent="0.35">
      <c r="A375" s="1">
        <v>7086361926</v>
      </c>
      <c r="B375" s="2">
        <v>42469</v>
      </c>
      <c r="C375" s="1">
        <v>7338</v>
      </c>
      <c r="D375" s="1">
        <v>4.670000076</v>
      </c>
      <c r="E375" s="1">
        <v>4.670000076</v>
      </c>
      <c r="F375" s="1">
        <v>0</v>
      </c>
      <c r="G375" s="1">
        <v>1.0800000430000001</v>
      </c>
      <c r="H375" s="1">
        <v>0.12999999500000001</v>
      </c>
      <c r="I375" s="1">
        <v>3.460000038</v>
      </c>
      <c r="J375" s="1">
        <v>0</v>
      </c>
      <c r="K375" s="1">
        <v>27</v>
      </c>
      <c r="L375" s="1">
        <v>5</v>
      </c>
      <c r="M375" s="1">
        <v>204</v>
      </c>
      <c r="N375" s="1">
        <v>717</v>
      </c>
      <c r="O375" s="1">
        <v>2519</v>
      </c>
      <c r="P375" s="1" t="s">
        <v>19</v>
      </c>
      <c r="Q375" s="2"/>
      <c r="R375" s="1"/>
      <c r="S375" s="1"/>
      <c r="T375" s="1"/>
      <c r="U375" t="str">
        <f>TEXT(Merge2[[#This Row],[ActivityDate]],"dddd")</f>
        <v>Saturday</v>
      </c>
    </row>
    <row r="376" spans="1:21" x14ac:dyDescent="0.35">
      <c r="A376" s="1">
        <v>8053475328</v>
      </c>
      <c r="B376" s="2">
        <v>42469</v>
      </c>
      <c r="C376" s="1">
        <v>11159</v>
      </c>
      <c r="D376" s="1">
        <v>9.1400003430000005</v>
      </c>
      <c r="E376" s="1">
        <v>9.1400003430000005</v>
      </c>
      <c r="F376" s="1">
        <v>0</v>
      </c>
      <c r="G376" s="1">
        <v>6.6900000569999998</v>
      </c>
      <c r="H376" s="1">
        <v>0.25</v>
      </c>
      <c r="I376" s="1">
        <v>2.1900000569999998</v>
      </c>
      <c r="J376" s="1">
        <v>0</v>
      </c>
      <c r="K376" s="1">
        <v>59</v>
      </c>
      <c r="L376" s="1">
        <v>6</v>
      </c>
      <c r="M376" s="1">
        <v>120</v>
      </c>
      <c r="N376" s="1">
        <v>1255</v>
      </c>
      <c r="O376" s="1">
        <v>2715</v>
      </c>
      <c r="P376" s="1" t="s">
        <v>16</v>
      </c>
      <c r="Q376" s="2"/>
      <c r="R376" s="1"/>
      <c r="S376" s="1"/>
      <c r="T376" s="1"/>
      <c r="U376" t="str">
        <f>TEXT(Merge2[[#This Row],[ActivityDate]],"dddd")</f>
        <v>Saturday</v>
      </c>
    </row>
    <row r="377" spans="1:21" x14ac:dyDescent="0.35">
      <c r="A377" s="1">
        <v>8253242879</v>
      </c>
      <c r="B377" s="2">
        <v>42469</v>
      </c>
      <c r="C377" s="1">
        <v>5360</v>
      </c>
      <c r="D377" s="1">
        <v>3.539999962</v>
      </c>
      <c r="E377" s="1">
        <v>3.539999962</v>
      </c>
      <c r="F377" s="1">
        <v>0</v>
      </c>
      <c r="G377" s="1">
        <v>0.540000021</v>
      </c>
      <c r="H377" s="1">
        <v>1.5499999520000001</v>
      </c>
      <c r="I377" s="1">
        <v>1.460000038</v>
      </c>
      <c r="J377" s="1">
        <v>0</v>
      </c>
      <c r="K377" s="1">
        <v>8</v>
      </c>
      <c r="L377" s="1">
        <v>28</v>
      </c>
      <c r="M377" s="1">
        <v>148</v>
      </c>
      <c r="N377" s="1">
        <v>1256</v>
      </c>
      <c r="O377" s="1">
        <v>1832</v>
      </c>
      <c r="P377" s="1" t="s">
        <v>19</v>
      </c>
      <c r="Q377" s="2"/>
      <c r="R377" s="1"/>
      <c r="S377" s="1"/>
      <c r="T377" s="1"/>
      <c r="U377" t="str">
        <f>TEXT(Merge2[[#This Row],[ActivityDate]],"dddd")</f>
        <v>Saturday</v>
      </c>
    </row>
    <row r="378" spans="1:21" x14ac:dyDescent="0.35">
      <c r="A378" s="1">
        <v>8378563200</v>
      </c>
      <c r="B378" s="2">
        <v>42469</v>
      </c>
      <c r="C378" s="1">
        <v>2240</v>
      </c>
      <c r="D378" s="1">
        <v>1.7799999710000001</v>
      </c>
      <c r="E378" s="1">
        <v>1.7799999710000001</v>
      </c>
      <c r="F378" s="1">
        <v>0</v>
      </c>
      <c r="G378" s="1">
        <v>0</v>
      </c>
      <c r="H378" s="1">
        <v>0</v>
      </c>
      <c r="I378" s="1">
        <v>1.7799999710000001</v>
      </c>
      <c r="J378" s="1">
        <v>0</v>
      </c>
      <c r="K378" s="1">
        <v>0</v>
      </c>
      <c r="L378" s="1">
        <v>0</v>
      </c>
      <c r="M378" s="1">
        <v>110</v>
      </c>
      <c r="N378" s="1">
        <v>843</v>
      </c>
      <c r="O378" s="1">
        <v>2606</v>
      </c>
      <c r="P378" s="1" t="s">
        <v>17</v>
      </c>
      <c r="Q378" s="2"/>
      <c r="R378" s="1"/>
      <c r="S378" s="1"/>
      <c r="T378" s="1"/>
      <c r="U378" t="str">
        <f>TEXT(Merge2[[#This Row],[ActivityDate]],"dddd")</f>
        <v>Saturday</v>
      </c>
    </row>
    <row r="379" spans="1:21" x14ac:dyDescent="0.35">
      <c r="A379" s="1">
        <v>8792009665</v>
      </c>
      <c r="B379" s="2">
        <v>42469</v>
      </c>
      <c r="C379" s="1">
        <v>1022</v>
      </c>
      <c r="D379" s="1">
        <v>0.64999997600000003</v>
      </c>
      <c r="E379" s="1">
        <v>0.64999997600000003</v>
      </c>
      <c r="F379" s="1">
        <v>0</v>
      </c>
      <c r="G379" s="1">
        <v>0</v>
      </c>
      <c r="H379" s="1">
        <v>0</v>
      </c>
      <c r="I379" s="1">
        <v>0.64999997600000003</v>
      </c>
      <c r="J379" s="1">
        <v>0</v>
      </c>
      <c r="K379" s="1">
        <v>0</v>
      </c>
      <c r="L379" s="1">
        <v>0</v>
      </c>
      <c r="M379" s="1">
        <v>63</v>
      </c>
      <c r="N379" s="1">
        <v>739</v>
      </c>
      <c r="O379" s="1">
        <v>1890</v>
      </c>
      <c r="P379" s="1" t="s">
        <v>17</v>
      </c>
      <c r="Q379" s="2"/>
      <c r="R379" s="1"/>
      <c r="S379" s="1"/>
      <c r="T379" s="1"/>
      <c r="U379" t="str">
        <f>TEXT(Merge2[[#This Row],[ActivityDate]],"dddd")</f>
        <v>Saturday</v>
      </c>
    </row>
    <row r="380" spans="1:21" x14ac:dyDescent="0.35">
      <c r="A380" s="1">
        <v>8877689391</v>
      </c>
      <c r="B380" s="2">
        <v>42469</v>
      </c>
      <c r="C380" s="1">
        <v>16470</v>
      </c>
      <c r="D380" s="1">
        <v>8.0699996949999999</v>
      </c>
      <c r="E380" s="1">
        <v>8.0699996949999999</v>
      </c>
      <c r="F380" s="1">
        <v>0</v>
      </c>
      <c r="G380" s="1">
        <v>0</v>
      </c>
      <c r="H380" s="1">
        <v>0.02</v>
      </c>
      <c r="I380" s="1">
        <v>8.0200004580000002</v>
      </c>
      <c r="J380" s="1">
        <v>0</v>
      </c>
      <c r="K380" s="1">
        <v>90</v>
      </c>
      <c r="L380" s="1">
        <v>9</v>
      </c>
      <c r="M380" s="1">
        <v>289</v>
      </c>
      <c r="N380" s="1">
        <v>1052</v>
      </c>
      <c r="O380" s="1">
        <v>3841</v>
      </c>
      <c r="P380" s="1" t="s">
        <v>16</v>
      </c>
      <c r="Q380" s="2"/>
      <c r="R380" s="1"/>
      <c r="S380" s="1"/>
      <c r="T380" s="1"/>
      <c r="U380" t="str">
        <f>TEXT(Merge2[[#This Row],[ActivityDate]],"dddd")</f>
        <v>Saturday</v>
      </c>
    </row>
    <row r="381" spans="1:21" x14ac:dyDescent="0.35">
      <c r="A381" s="1">
        <v>1503960366</v>
      </c>
      <c r="B381" s="2">
        <v>42470</v>
      </c>
      <c r="C381" s="1">
        <v>10057</v>
      </c>
      <c r="D381" s="1">
        <v>6.9800000190000002</v>
      </c>
      <c r="E381" s="1">
        <v>6.9800000190000002</v>
      </c>
      <c r="F381" s="1">
        <v>0</v>
      </c>
      <c r="G381" s="1">
        <v>4</v>
      </c>
      <c r="H381" s="1">
        <v>0.49000000999999999</v>
      </c>
      <c r="I381" s="1">
        <v>2.4800000190000002</v>
      </c>
      <c r="J381" s="1">
        <v>0</v>
      </c>
      <c r="K381" s="1">
        <v>44</v>
      </c>
      <c r="L381" s="1">
        <v>13</v>
      </c>
      <c r="M381" s="1">
        <v>168</v>
      </c>
      <c r="N381" s="1">
        <v>737</v>
      </c>
      <c r="O381" s="1">
        <v>1755</v>
      </c>
      <c r="P381" s="1" t="s">
        <v>16</v>
      </c>
      <c r="Q381" s="2"/>
      <c r="R381" s="1"/>
      <c r="S381" s="1"/>
      <c r="T381" s="1"/>
      <c r="U381" t="str">
        <f>TEXT(Merge2[[#This Row],[ActivityDate]],"dddd")</f>
        <v>Sunday</v>
      </c>
    </row>
    <row r="382" spans="1:21" x14ac:dyDescent="0.35">
      <c r="A382" s="1">
        <v>1624580081</v>
      </c>
      <c r="B382" s="2">
        <v>42470</v>
      </c>
      <c r="C382" s="1">
        <v>3910</v>
      </c>
      <c r="D382" s="1">
        <v>2.539999962</v>
      </c>
      <c r="E382" s="1">
        <v>2.539999962</v>
      </c>
      <c r="F382" s="1">
        <v>0</v>
      </c>
      <c r="G382" s="1">
        <v>0.469999999</v>
      </c>
      <c r="H382" s="1">
        <v>0.25</v>
      </c>
      <c r="I382" s="1">
        <v>1.809999943</v>
      </c>
      <c r="J382" s="1">
        <v>0.01</v>
      </c>
      <c r="K382" s="1">
        <v>7</v>
      </c>
      <c r="L382" s="1">
        <v>7</v>
      </c>
      <c r="M382" s="1">
        <v>186</v>
      </c>
      <c r="N382" s="1">
        <v>1240</v>
      </c>
      <c r="O382" s="1">
        <v>1555</v>
      </c>
      <c r="P382" s="1" t="s">
        <v>17</v>
      </c>
      <c r="Q382" s="2"/>
      <c r="R382" s="1"/>
      <c r="S382" s="1"/>
      <c r="T382" s="1"/>
      <c r="U382" t="str">
        <f>TEXT(Merge2[[#This Row],[ActivityDate]],"dddd")</f>
        <v>Sunday</v>
      </c>
    </row>
    <row r="383" spans="1:21" x14ac:dyDescent="0.35">
      <c r="A383" s="1">
        <v>1644430081</v>
      </c>
      <c r="B383" s="2">
        <v>42470</v>
      </c>
      <c r="C383" s="1">
        <v>1329</v>
      </c>
      <c r="D383" s="1">
        <v>0.97000002900000004</v>
      </c>
      <c r="E383" s="1">
        <v>0.97000002900000004</v>
      </c>
      <c r="F383" s="1">
        <v>0</v>
      </c>
      <c r="G383" s="1">
        <v>0</v>
      </c>
      <c r="H383" s="1">
        <v>0</v>
      </c>
      <c r="I383" s="1">
        <v>0.97000002900000004</v>
      </c>
      <c r="J383" s="1">
        <v>0</v>
      </c>
      <c r="K383" s="1">
        <v>0</v>
      </c>
      <c r="L383" s="1">
        <v>0</v>
      </c>
      <c r="M383" s="1">
        <v>35</v>
      </c>
      <c r="N383" s="1">
        <v>207</v>
      </c>
      <c r="O383" s="1">
        <v>489</v>
      </c>
      <c r="P383" s="1" t="s">
        <v>17</v>
      </c>
      <c r="Q383" s="2"/>
      <c r="R383" s="1"/>
      <c r="S383" s="1"/>
      <c r="T383" s="1"/>
      <c r="U383" t="str">
        <f>TEXT(Merge2[[#This Row],[ActivityDate]],"dddd")</f>
        <v>Sunday</v>
      </c>
    </row>
    <row r="384" spans="1:21" x14ac:dyDescent="0.35">
      <c r="A384" s="1">
        <v>1844505072</v>
      </c>
      <c r="B384" s="2">
        <v>42470</v>
      </c>
      <c r="C384" s="1">
        <v>6556</v>
      </c>
      <c r="D384" s="1">
        <v>4.3400001530000001</v>
      </c>
      <c r="E384" s="1">
        <v>4.3400001530000001</v>
      </c>
      <c r="F384" s="1">
        <v>0</v>
      </c>
      <c r="G384" s="1">
        <v>0</v>
      </c>
      <c r="H384" s="1">
        <v>0</v>
      </c>
      <c r="I384" s="1">
        <v>4.329999924</v>
      </c>
      <c r="J384" s="1">
        <v>0</v>
      </c>
      <c r="K384" s="1">
        <v>0</v>
      </c>
      <c r="L384" s="1">
        <v>0</v>
      </c>
      <c r="M384" s="1">
        <v>305</v>
      </c>
      <c r="N384" s="1">
        <v>810</v>
      </c>
      <c r="O384" s="1">
        <v>1971</v>
      </c>
      <c r="P384" s="1" t="s">
        <v>19</v>
      </c>
      <c r="Q384" s="2"/>
      <c r="R384" s="1"/>
      <c r="S384" s="1"/>
      <c r="T384" s="1"/>
      <c r="U384" t="str">
        <f>TEXT(Merge2[[#This Row],[ActivityDate]],"dddd")</f>
        <v>Sunday</v>
      </c>
    </row>
    <row r="385" spans="1:21" x14ac:dyDescent="0.35">
      <c r="A385" s="1">
        <v>1927972279</v>
      </c>
      <c r="B385" s="2">
        <v>42470</v>
      </c>
      <c r="C385" s="1">
        <v>2105</v>
      </c>
      <c r="D385" s="1">
        <v>1.460000038</v>
      </c>
      <c r="E385" s="1">
        <v>1.460000038</v>
      </c>
      <c r="F385" s="1">
        <v>0</v>
      </c>
      <c r="G385" s="1">
        <v>0</v>
      </c>
      <c r="H385" s="1">
        <v>0</v>
      </c>
      <c r="I385" s="1">
        <v>1.460000038</v>
      </c>
      <c r="J385" s="1">
        <v>0</v>
      </c>
      <c r="K385" s="1">
        <v>0</v>
      </c>
      <c r="L385" s="1">
        <v>0</v>
      </c>
      <c r="M385" s="1">
        <v>139</v>
      </c>
      <c r="N385" s="1">
        <v>805</v>
      </c>
      <c r="O385" s="1">
        <v>2442</v>
      </c>
      <c r="P385" s="1" t="s">
        <v>17</v>
      </c>
      <c r="Q385" s="2"/>
      <c r="R385" s="1"/>
      <c r="S385" s="1"/>
      <c r="T385" s="1"/>
      <c r="U385" t="str">
        <f>TEXT(Merge2[[#This Row],[ActivityDate]],"dddd")</f>
        <v>Sunday</v>
      </c>
    </row>
    <row r="386" spans="1:21" x14ac:dyDescent="0.35">
      <c r="A386" s="1">
        <v>2022484408</v>
      </c>
      <c r="B386" s="2">
        <v>42470</v>
      </c>
      <c r="C386" s="1">
        <v>10005</v>
      </c>
      <c r="D386" s="1">
        <v>7.0199999809999998</v>
      </c>
      <c r="E386" s="1">
        <v>7.0199999809999998</v>
      </c>
      <c r="F386" s="1">
        <v>0</v>
      </c>
      <c r="G386" s="1">
        <v>7.9999998000000003E-2</v>
      </c>
      <c r="H386" s="1">
        <v>1.0499999520000001</v>
      </c>
      <c r="I386" s="1">
        <v>5.9000000950000002</v>
      </c>
      <c r="J386" s="1">
        <v>0</v>
      </c>
      <c r="K386" s="1">
        <v>1</v>
      </c>
      <c r="L386" s="1">
        <v>23</v>
      </c>
      <c r="M386" s="1">
        <v>339</v>
      </c>
      <c r="N386" s="1">
        <v>1077</v>
      </c>
      <c r="O386" s="1">
        <v>2458</v>
      </c>
      <c r="P386" s="1" t="s">
        <v>16</v>
      </c>
      <c r="Q386" s="2"/>
      <c r="R386" s="1"/>
      <c r="S386" s="1"/>
      <c r="T386" s="1"/>
      <c r="U386" t="str">
        <f>TEXT(Merge2[[#This Row],[ActivityDate]],"dddd")</f>
        <v>Sunday</v>
      </c>
    </row>
    <row r="387" spans="1:21" x14ac:dyDescent="0.35">
      <c r="A387" s="1">
        <v>2026352035</v>
      </c>
      <c r="B387" s="2">
        <v>42470</v>
      </c>
      <c r="C387" s="1">
        <v>5142</v>
      </c>
      <c r="D387" s="1">
        <v>3.1900000569999998</v>
      </c>
      <c r="E387" s="1">
        <v>3.1900000569999998</v>
      </c>
      <c r="F387" s="1">
        <v>0</v>
      </c>
      <c r="G387" s="1">
        <v>0</v>
      </c>
      <c r="H387" s="1">
        <v>0</v>
      </c>
      <c r="I387" s="1">
        <v>3.1900000569999998</v>
      </c>
      <c r="J387" s="1">
        <v>0</v>
      </c>
      <c r="K387" s="1">
        <v>0</v>
      </c>
      <c r="L387" s="1">
        <v>0</v>
      </c>
      <c r="M387" s="1">
        <v>230</v>
      </c>
      <c r="N387" s="1">
        <v>654</v>
      </c>
      <c r="O387" s="1">
        <v>1515</v>
      </c>
      <c r="P387" s="1" t="s">
        <v>19</v>
      </c>
      <c r="Q387" s="2"/>
      <c r="R387" s="1"/>
      <c r="S387" s="1"/>
      <c r="T387" s="1"/>
      <c r="U387" t="str">
        <f>TEXT(Merge2[[#This Row],[ActivityDate]],"dddd")</f>
        <v>Sunday</v>
      </c>
    </row>
    <row r="388" spans="1:21" x14ac:dyDescent="0.35">
      <c r="A388" s="1">
        <v>2320127002</v>
      </c>
      <c r="B388" s="2">
        <v>42470</v>
      </c>
      <c r="C388" s="1">
        <v>2277</v>
      </c>
      <c r="D388" s="1">
        <v>1.5299999710000001</v>
      </c>
      <c r="E388" s="1">
        <v>1.5299999710000001</v>
      </c>
      <c r="F388" s="1">
        <v>0</v>
      </c>
      <c r="G388" s="1">
        <v>0</v>
      </c>
      <c r="H388" s="1">
        <v>0</v>
      </c>
      <c r="I388" s="1">
        <v>1.5299999710000001</v>
      </c>
      <c r="J388" s="1">
        <v>0</v>
      </c>
      <c r="K388" s="1">
        <v>0</v>
      </c>
      <c r="L388" s="1">
        <v>0</v>
      </c>
      <c r="M388" s="1">
        <v>103</v>
      </c>
      <c r="N388" s="1">
        <v>1337</v>
      </c>
      <c r="O388" s="1">
        <v>1530</v>
      </c>
      <c r="P388" s="1" t="s">
        <v>17</v>
      </c>
      <c r="Q388" s="2"/>
      <c r="R388" s="1"/>
      <c r="S388" s="1"/>
      <c r="T388" s="1"/>
      <c r="U388" t="str">
        <f>TEXT(Merge2[[#This Row],[ActivityDate]],"dddd")</f>
        <v>Sunday</v>
      </c>
    </row>
    <row r="389" spans="1:21" x14ac:dyDescent="0.35">
      <c r="A389" s="1">
        <v>2347167796</v>
      </c>
      <c r="B389" s="2">
        <v>42470</v>
      </c>
      <c r="C389" s="1">
        <v>10078</v>
      </c>
      <c r="D389" s="1">
        <v>6.829999924</v>
      </c>
      <c r="E389" s="1">
        <v>6.829999924</v>
      </c>
      <c r="F389" s="1">
        <v>0</v>
      </c>
      <c r="G389" s="1">
        <v>1.019999981</v>
      </c>
      <c r="H389" s="1">
        <v>0.119999997</v>
      </c>
      <c r="I389" s="1">
        <v>5.6900000569999998</v>
      </c>
      <c r="J389" s="1">
        <v>0</v>
      </c>
      <c r="K389" s="1">
        <v>12</v>
      </c>
      <c r="L389" s="1">
        <v>3</v>
      </c>
      <c r="M389" s="1">
        <v>303</v>
      </c>
      <c r="N389" s="1">
        <v>463</v>
      </c>
      <c r="O389" s="1">
        <v>2164</v>
      </c>
      <c r="P389" s="1" t="s">
        <v>16</v>
      </c>
      <c r="Q389" s="2"/>
      <c r="R389" s="1"/>
      <c r="S389" s="1"/>
      <c r="T389" s="1"/>
      <c r="U389" t="str">
        <f>TEXT(Merge2[[#This Row],[ActivityDate]],"dddd")</f>
        <v>Sunday</v>
      </c>
    </row>
    <row r="390" spans="1:21" x14ac:dyDescent="0.35">
      <c r="A390" s="1">
        <v>2873212765</v>
      </c>
      <c r="B390" s="2">
        <v>42470</v>
      </c>
      <c r="C390" s="1">
        <v>5290</v>
      </c>
      <c r="D390" s="1">
        <v>3.5499999519999998</v>
      </c>
      <c r="E390" s="1">
        <v>3.5499999519999998</v>
      </c>
      <c r="F390" s="1">
        <v>0</v>
      </c>
      <c r="G390" s="1">
        <v>3.9999999000000001E-2</v>
      </c>
      <c r="H390" s="1">
        <v>0.34000000400000002</v>
      </c>
      <c r="I390" s="1">
        <v>3.170000076</v>
      </c>
      <c r="J390" s="1">
        <v>0</v>
      </c>
      <c r="K390" s="1">
        <v>1</v>
      </c>
      <c r="L390" s="1">
        <v>8</v>
      </c>
      <c r="M390" s="1">
        <v>251</v>
      </c>
      <c r="N390" s="1">
        <v>1180</v>
      </c>
      <c r="O390" s="1">
        <v>1724</v>
      </c>
      <c r="P390" s="1" t="s">
        <v>19</v>
      </c>
      <c r="Q390" s="2"/>
      <c r="R390" s="1"/>
      <c r="S390" s="1"/>
      <c r="T390" s="1"/>
      <c r="U390" t="str">
        <f>TEXT(Merge2[[#This Row],[ActivityDate]],"dddd")</f>
        <v>Sunday</v>
      </c>
    </row>
    <row r="391" spans="1:21" x14ac:dyDescent="0.35">
      <c r="A391" s="1">
        <v>3372868164</v>
      </c>
      <c r="B391" s="2">
        <v>42470</v>
      </c>
      <c r="C391" s="1">
        <v>4662</v>
      </c>
      <c r="D391" s="1">
        <v>3.1800000669999999</v>
      </c>
      <c r="E391" s="1">
        <v>3.1800000669999999</v>
      </c>
      <c r="F391" s="1">
        <v>0</v>
      </c>
      <c r="G391" s="1">
        <v>1.039999962</v>
      </c>
      <c r="H391" s="1">
        <v>0.15000000599999999</v>
      </c>
      <c r="I391" s="1">
        <v>1.9900000099999999</v>
      </c>
      <c r="J391" s="1">
        <v>0</v>
      </c>
      <c r="K391" s="1">
        <v>22</v>
      </c>
      <c r="L391" s="1">
        <v>4</v>
      </c>
      <c r="M391" s="1">
        <v>152</v>
      </c>
      <c r="N391" s="1">
        <v>735</v>
      </c>
      <c r="O391" s="1">
        <v>1276</v>
      </c>
      <c r="P391" s="1" t="s">
        <v>17</v>
      </c>
      <c r="Q391" s="2"/>
      <c r="R391" s="1"/>
      <c r="S391" s="1"/>
      <c r="T391" s="1"/>
      <c r="U391" t="str">
        <f>TEXT(Merge2[[#This Row],[ActivityDate]],"dddd")</f>
        <v>Sunday</v>
      </c>
    </row>
    <row r="392" spans="1:21" x14ac:dyDescent="0.35">
      <c r="A392" s="1">
        <v>3977333714</v>
      </c>
      <c r="B392" s="2">
        <v>42470</v>
      </c>
      <c r="C392" s="1">
        <v>3573</v>
      </c>
      <c r="D392" s="1">
        <v>2.3900001049999999</v>
      </c>
      <c r="E392" s="1">
        <v>2.3900001049999999</v>
      </c>
      <c r="F392" s="1">
        <v>0</v>
      </c>
      <c r="G392" s="1">
        <v>0.939999998</v>
      </c>
      <c r="H392" s="1">
        <v>0.40999999599999998</v>
      </c>
      <c r="I392" s="1">
        <v>0.97000002900000004</v>
      </c>
      <c r="J392" s="1">
        <v>0</v>
      </c>
      <c r="K392" s="1">
        <v>15</v>
      </c>
      <c r="L392" s="1">
        <v>8</v>
      </c>
      <c r="M392" s="1">
        <v>99</v>
      </c>
      <c r="N392" s="1">
        <v>866</v>
      </c>
      <c r="O392" s="1">
        <v>1232</v>
      </c>
      <c r="P392" s="1" t="s">
        <v>17</v>
      </c>
      <c r="Q392" s="2"/>
      <c r="R392" s="1"/>
      <c r="S392" s="1"/>
      <c r="T392" s="1"/>
      <c r="U392" t="str">
        <f>TEXT(Merge2[[#This Row],[ActivityDate]],"dddd")</f>
        <v>Sunday</v>
      </c>
    </row>
    <row r="393" spans="1:21" x14ac:dyDescent="0.35">
      <c r="A393" s="1">
        <v>4020332650</v>
      </c>
      <c r="B393" s="2">
        <v>42470</v>
      </c>
      <c r="C393" s="1">
        <v>5129</v>
      </c>
      <c r="D393" s="1">
        <v>3.6800000669999999</v>
      </c>
      <c r="E393" s="1">
        <v>3.6800000669999999</v>
      </c>
      <c r="F393" s="1">
        <v>0</v>
      </c>
      <c r="G393" s="1">
        <v>0.18000000699999999</v>
      </c>
      <c r="H393" s="1">
        <v>0.23999999499999999</v>
      </c>
      <c r="I393" s="1">
        <v>3.210000038</v>
      </c>
      <c r="J393" s="1">
        <v>0.01</v>
      </c>
      <c r="K393" s="1">
        <v>5</v>
      </c>
      <c r="L393" s="1">
        <v>7</v>
      </c>
      <c r="M393" s="1">
        <v>176</v>
      </c>
      <c r="N393" s="1">
        <v>1178</v>
      </c>
      <c r="O393" s="1">
        <v>2817</v>
      </c>
      <c r="P393" s="1" t="s">
        <v>19</v>
      </c>
      <c r="Q393" s="2"/>
      <c r="R393" s="1"/>
      <c r="S393" s="1"/>
      <c r="T393" s="1"/>
      <c r="U393" t="str">
        <f>TEXT(Merge2[[#This Row],[ActivityDate]],"dddd")</f>
        <v>Sunday</v>
      </c>
    </row>
    <row r="394" spans="1:21" x14ac:dyDescent="0.35">
      <c r="A394" s="1">
        <v>4057192912</v>
      </c>
      <c r="B394" s="2">
        <v>42470</v>
      </c>
      <c r="C394" s="1">
        <v>3434</v>
      </c>
      <c r="D394" s="1">
        <v>2.5099999899999998</v>
      </c>
      <c r="E394" s="1">
        <v>2.5099999899999998</v>
      </c>
      <c r="F394" s="1">
        <v>0</v>
      </c>
      <c r="G394" s="1">
        <v>7.0000000000000007E-2</v>
      </c>
      <c r="H394" s="1">
        <v>0.30000001199999998</v>
      </c>
      <c r="I394" s="1">
        <v>2.1400001049999999</v>
      </c>
      <c r="J394" s="1">
        <v>0</v>
      </c>
      <c r="K394" s="1">
        <v>1</v>
      </c>
      <c r="L394" s="1">
        <v>7</v>
      </c>
      <c r="M394" s="1">
        <v>108</v>
      </c>
      <c r="N394" s="1">
        <v>1324</v>
      </c>
      <c r="O394" s="1">
        <v>2101</v>
      </c>
      <c r="P394" s="1" t="s">
        <v>17</v>
      </c>
      <c r="Q394" s="2"/>
      <c r="R394" s="1"/>
      <c r="S394" s="1"/>
      <c r="T394" s="1"/>
      <c r="U394" t="str">
        <f>TEXT(Merge2[[#This Row],[ActivityDate]],"dddd")</f>
        <v>Sunday</v>
      </c>
    </row>
    <row r="395" spans="1:21" x14ac:dyDescent="0.35">
      <c r="A395" s="1">
        <v>4445114986</v>
      </c>
      <c r="B395" s="2">
        <v>42470</v>
      </c>
      <c r="C395" s="1">
        <v>6625</v>
      </c>
      <c r="D395" s="1">
        <v>4.4499998090000004</v>
      </c>
      <c r="E395" s="1">
        <v>4.4499998090000004</v>
      </c>
      <c r="F395" s="1">
        <v>0</v>
      </c>
      <c r="G395" s="1">
        <v>0</v>
      </c>
      <c r="H395" s="1">
        <v>0</v>
      </c>
      <c r="I395" s="1">
        <v>4.4499998090000004</v>
      </c>
      <c r="J395" s="1">
        <v>0</v>
      </c>
      <c r="K395" s="1">
        <v>0</v>
      </c>
      <c r="L395" s="1">
        <v>0</v>
      </c>
      <c r="M395" s="1">
        <v>316</v>
      </c>
      <c r="N395" s="1">
        <v>755</v>
      </c>
      <c r="O395" s="1">
        <v>2424</v>
      </c>
      <c r="P395" s="1" t="s">
        <v>19</v>
      </c>
      <c r="Q395" s="2"/>
      <c r="R395" s="1"/>
      <c r="S395" s="1"/>
      <c r="T395" s="1"/>
      <c r="U395" t="str">
        <f>TEXT(Merge2[[#This Row],[ActivityDate]],"dddd")</f>
        <v>Sunday</v>
      </c>
    </row>
    <row r="396" spans="1:21" x14ac:dyDescent="0.35">
      <c r="A396" s="1">
        <v>4558609924</v>
      </c>
      <c r="B396" s="2">
        <v>42470</v>
      </c>
      <c r="C396" s="1">
        <v>6263</v>
      </c>
      <c r="D396" s="1">
        <v>4.1399998660000001</v>
      </c>
      <c r="E396" s="1">
        <v>4.1399998660000001</v>
      </c>
      <c r="F396" s="1">
        <v>0</v>
      </c>
      <c r="G396" s="1">
        <v>0</v>
      </c>
      <c r="H396" s="1">
        <v>0</v>
      </c>
      <c r="I396" s="1">
        <v>4.1300001139999996</v>
      </c>
      <c r="J396" s="1">
        <v>0</v>
      </c>
      <c r="K396" s="1">
        <v>0</v>
      </c>
      <c r="L396" s="1">
        <v>0</v>
      </c>
      <c r="M396" s="1">
        <v>290</v>
      </c>
      <c r="N396" s="1">
        <v>1150</v>
      </c>
      <c r="O396" s="1">
        <v>1906</v>
      </c>
      <c r="P396" s="1" t="s">
        <v>19</v>
      </c>
      <c r="Q396" s="2"/>
      <c r="R396" s="1"/>
      <c r="S396" s="1"/>
      <c r="T396" s="1"/>
      <c r="U396" t="str">
        <f>TEXT(Merge2[[#This Row],[ActivityDate]],"dddd")</f>
        <v>Sunday</v>
      </c>
    </row>
    <row r="397" spans="1:21" x14ac:dyDescent="0.35">
      <c r="A397" s="1">
        <v>4702921684</v>
      </c>
      <c r="B397" s="2">
        <v>42470</v>
      </c>
      <c r="C397" s="1">
        <v>11135</v>
      </c>
      <c r="D397" s="1">
        <v>9.0299997330000004</v>
      </c>
      <c r="E397" s="1">
        <v>9.0299997330000004</v>
      </c>
      <c r="F397" s="1">
        <v>0</v>
      </c>
      <c r="G397" s="1">
        <v>7.9999998000000003E-2</v>
      </c>
      <c r="H397" s="1">
        <v>1.1599999670000001</v>
      </c>
      <c r="I397" s="1">
        <v>7.7899999619999996</v>
      </c>
      <c r="J397" s="1">
        <v>0</v>
      </c>
      <c r="K397" s="1">
        <v>1</v>
      </c>
      <c r="L397" s="1">
        <v>25</v>
      </c>
      <c r="M397" s="1">
        <v>331</v>
      </c>
      <c r="N397" s="1">
        <v>528</v>
      </c>
      <c r="O397" s="1">
        <v>3224</v>
      </c>
      <c r="P397" s="1" t="s">
        <v>16</v>
      </c>
      <c r="Q397" s="2"/>
      <c r="R397" s="1"/>
      <c r="S397" s="1"/>
      <c r="T397" s="1"/>
      <c r="U397" t="str">
        <f>TEXT(Merge2[[#This Row],[ActivityDate]],"dddd")</f>
        <v>Sunday</v>
      </c>
    </row>
    <row r="398" spans="1:21" x14ac:dyDescent="0.35">
      <c r="A398" s="1">
        <v>5553957443</v>
      </c>
      <c r="B398" s="2">
        <v>42470</v>
      </c>
      <c r="C398" s="1">
        <v>5594</v>
      </c>
      <c r="D398" s="1">
        <v>3.6500000950000002</v>
      </c>
      <c r="E398" s="1">
        <v>3.6500000950000002</v>
      </c>
      <c r="F398" s="1">
        <v>0</v>
      </c>
      <c r="G398" s="1">
        <v>0.280000001</v>
      </c>
      <c r="H398" s="1">
        <v>1.480000019</v>
      </c>
      <c r="I398" s="1">
        <v>1.8899999860000001</v>
      </c>
      <c r="J398" s="1">
        <v>0</v>
      </c>
      <c r="K398" s="1">
        <v>4</v>
      </c>
      <c r="L398" s="1">
        <v>25</v>
      </c>
      <c r="M398" s="1">
        <v>150</v>
      </c>
      <c r="N398" s="1">
        <v>552</v>
      </c>
      <c r="O398" s="1">
        <v>1712</v>
      </c>
      <c r="P398" s="1" t="s">
        <v>19</v>
      </c>
      <c r="Q398" s="2"/>
      <c r="R398" s="1"/>
      <c r="S398" s="1"/>
      <c r="T398" s="1"/>
      <c r="U398" t="str">
        <f>TEXT(Merge2[[#This Row],[ActivityDate]],"dddd")</f>
        <v>Sunday</v>
      </c>
    </row>
    <row r="399" spans="1:21" x14ac:dyDescent="0.35">
      <c r="A399" s="1">
        <v>5577150313</v>
      </c>
      <c r="B399" s="2">
        <v>42470</v>
      </c>
      <c r="C399" s="1">
        <v>9776</v>
      </c>
      <c r="D399" s="1">
        <v>7.3800001139999996</v>
      </c>
      <c r="E399" s="1">
        <v>7.3800001139999996</v>
      </c>
      <c r="F399" s="1">
        <v>0</v>
      </c>
      <c r="G399" s="1">
        <v>2.9300000669999999</v>
      </c>
      <c r="H399" s="1">
        <v>1.4299999480000001</v>
      </c>
      <c r="I399" s="1">
        <v>3.0199999809999998</v>
      </c>
      <c r="J399" s="1">
        <v>0</v>
      </c>
      <c r="K399" s="1">
        <v>80</v>
      </c>
      <c r="L399" s="1">
        <v>35</v>
      </c>
      <c r="M399" s="1">
        <v>162</v>
      </c>
      <c r="N399" s="1">
        <v>721</v>
      </c>
      <c r="O399" s="1">
        <v>3378</v>
      </c>
      <c r="P399" s="1" t="s">
        <v>18</v>
      </c>
      <c r="Q399" s="2"/>
      <c r="R399" s="1"/>
      <c r="S399" s="1"/>
      <c r="T399" s="1"/>
      <c r="U399" t="str">
        <f>TEXT(Merge2[[#This Row],[ActivityDate]],"dddd")</f>
        <v>Sunday</v>
      </c>
    </row>
    <row r="400" spans="1:21" x14ac:dyDescent="0.35">
      <c r="A400" s="1">
        <v>6117666160</v>
      </c>
      <c r="B400" s="2">
        <v>42470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1440</v>
      </c>
      <c r="O400" s="1">
        <v>0</v>
      </c>
      <c r="P400" s="1" t="s">
        <v>17</v>
      </c>
      <c r="Q400" s="2"/>
      <c r="R400" s="1"/>
      <c r="S400" s="1"/>
      <c r="T400" s="1"/>
      <c r="U400" t="str">
        <f>TEXT(Merge2[[#This Row],[ActivityDate]],"dddd")</f>
        <v>Sunday</v>
      </c>
    </row>
    <row r="401" spans="1:21" x14ac:dyDescent="0.35">
      <c r="A401" s="1">
        <v>6290855005</v>
      </c>
      <c r="B401" s="2">
        <v>42470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20</v>
      </c>
      <c r="L401" s="1">
        <v>0</v>
      </c>
      <c r="M401" s="1">
        <v>0</v>
      </c>
      <c r="N401" s="1">
        <v>494</v>
      </c>
      <c r="O401" s="1">
        <v>735</v>
      </c>
      <c r="P401" s="1" t="s">
        <v>17</v>
      </c>
      <c r="Q401" s="2"/>
      <c r="R401" s="1"/>
      <c r="S401" s="1"/>
      <c r="T401" s="1"/>
      <c r="U401" t="str">
        <f>TEXT(Merge2[[#This Row],[ActivityDate]],"dddd")</f>
        <v>Sunday</v>
      </c>
    </row>
    <row r="402" spans="1:21" x14ac:dyDescent="0.35">
      <c r="A402" s="1">
        <v>6962181067</v>
      </c>
      <c r="B402" s="2">
        <v>42470</v>
      </c>
      <c r="C402" s="1">
        <v>10148</v>
      </c>
      <c r="D402" s="1">
        <v>6.7100000380000004</v>
      </c>
      <c r="E402" s="1">
        <v>6.7100000380000004</v>
      </c>
      <c r="F402" s="1">
        <v>0</v>
      </c>
      <c r="G402" s="1">
        <v>1.3600000139999999</v>
      </c>
      <c r="H402" s="1">
        <v>0.219999999</v>
      </c>
      <c r="I402" s="1">
        <v>5.1300001139999996</v>
      </c>
      <c r="J402" s="1">
        <v>0</v>
      </c>
      <c r="K402" s="1">
        <v>19</v>
      </c>
      <c r="L402" s="1">
        <v>7</v>
      </c>
      <c r="M402" s="1">
        <v>306</v>
      </c>
      <c r="N402" s="1">
        <v>679</v>
      </c>
      <c r="O402" s="1">
        <v>2100</v>
      </c>
      <c r="P402" s="1" t="s">
        <v>16</v>
      </c>
      <c r="Q402" s="2"/>
      <c r="R402" s="1"/>
      <c r="S402" s="1"/>
      <c r="T402" s="1"/>
      <c r="U402" t="str">
        <f>TEXT(Merge2[[#This Row],[ActivityDate]],"dddd")</f>
        <v>Sunday</v>
      </c>
    </row>
    <row r="403" spans="1:21" x14ac:dyDescent="0.35">
      <c r="A403" s="1">
        <v>7007744171</v>
      </c>
      <c r="B403" s="2">
        <v>42470</v>
      </c>
      <c r="C403" s="1">
        <v>10146</v>
      </c>
      <c r="D403" s="1">
        <v>6.7899999619999996</v>
      </c>
      <c r="E403" s="1">
        <v>6.7899999619999996</v>
      </c>
      <c r="F403" s="1">
        <v>0</v>
      </c>
      <c r="G403" s="1">
        <v>7.0000000000000007E-2</v>
      </c>
      <c r="H403" s="1">
        <v>0.61000001400000003</v>
      </c>
      <c r="I403" s="1">
        <v>6.1100001339999999</v>
      </c>
      <c r="J403" s="1">
        <v>0</v>
      </c>
      <c r="K403" s="1">
        <v>1</v>
      </c>
      <c r="L403" s="1">
        <v>12</v>
      </c>
      <c r="M403" s="1">
        <v>397</v>
      </c>
      <c r="N403" s="1">
        <v>1030</v>
      </c>
      <c r="O403" s="1">
        <v>2700</v>
      </c>
      <c r="P403" s="1" t="s">
        <v>16</v>
      </c>
      <c r="Q403" s="2"/>
      <c r="R403" s="1"/>
      <c r="S403" s="1"/>
      <c r="T403" s="1"/>
      <c r="U403" t="str">
        <f>TEXT(Merge2[[#This Row],[ActivityDate]],"dddd")</f>
        <v>Sunday</v>
      </c>
    </row>
    <row r="404" spans="1:21" x14ac:dyDescent="0.35">
      <c r="A404" s="1">
        <v>7086361926</v>
      </c>
      <c r="B404" s="2">
        <v>42470</v>
      </c>
      <c r="C404" s="1">
        <v>569</v>
      </c>
      <c r="D404" s="1">
        <v>0.34999999399999998</v>
      </c>
      <c r="E404" s="1">
        <v>0.34999999399999998</v>
      </c>
      <c r="F404" s="1">
        <v>0</v>
      </c>
      <c r="G404" s="1">
        <v>0</v>
      </c>
      <c r="H404" s="1">
        <v>0</v>
      </c>
      <c r="I404" s="1">
        <v>0.34000000400000002</v>
      </c>
      <c r="J404" s="1">
        <v>0</v>
      </c>
      <c r="K404" s="1">
        <v>0</v>
      </c>
      <c r="L404" s="1">
        <v>0</v>
      </c>
      <c r="M404" s="1">
        <v>27</v>
      </c>
      <c r="N404" s="1">
        <v>1368</v>
      </c>
      <c r="O404" s="1">
        <v>1799</v>
      </c>
      <c r="P404" s="1" t="s">
        <v>17</v>
      </c>
      <c r="Q404" s="2"/>
      <c r="R404" s="1"/>
      <c r="S404" s="1"/>
      <c r="T404" s="1"/>
      <c r="U404" t="str">
        <f>TEXT(Merge2[[#This Row],[ActivityDate]],"dddd")</f>
        <v>Sunday</v>
      </c>
    </row>
    <row r="405" spans="1:21" x14ac:dyDescent="0.35">
      <c r="A405" s="1">
        <v>8053475328</v>
      </c>
      <c r="B405" s="2">
        <v>42470</v>
      </c>
      <c r="C405" s="1">
        <v>10118</v>
      </c>
      <c r="D405" s="1">
        <v>7.7300000190000002</v>
      </c>
      <c r="E405" s="1">
        <v>7.7300000190000002</v>
      </c>
      <c r="F405" s="1">
        <v>0</v>
      </c>
      <c r="G405" s="1">
        <v>3.0499999519999998</v>
      </c>
      <c r="H405" s="1">
        <v>0.80000001200000004</v>
      </c>
      <c r="I405" s="1">
        <v>3.880000114</v>
      </c>
      <c r="J405" s="1">
        <v>0</v>
      </c>
      <c r="K405" s="1">
        <v>30</v>
      </c>
      <c r="L405" s="1">
        <v>18</v>
      </c>
      <c r="M405" s="1">
        <v>207</v>
      </c>
      <c r="N405" s="1">
        <v>1185</v>
      </c>
      <c r="O405" s="1">
        <v>2684</v>
      </c>
      <c r="P405" s="1" t="s">
        <v>16</v>
      </c>
      <c r="Q405" s="2"/>
      <c r="R405" s="1"/>
      <c r="S405" s="1"/>
      <c r="T405" s="1"/>
      <c r="U405" t="str">
        <f>TEXT(Merge2[[#This Row],[ActivityDate]],"dddd")</f>
        <v>Sunday</v>
      </c>
    </row>
    <row r="406" spans="1:21" x14ac:dyDescent="0.35">
      <c r="A406" s="1">
        <v>8253242879</v>
      </c>
      <c r="B406" s="2">
        <v>42470</v>
      </c>
      <c r="C406" s="1">
        <v>2545</v>
      </c>
      <c r="D406" s="1">
        <v>1.6799999480000001</v>
      </c>
      <c r="E406" s="1">
        <v>1.6799999480000001</v>
      </c>
      <c r="F406" s="1">
        <v>0</v>
      </c>
      <c r="G406" s="1">
        <v>0</v>
      </c>
      <c r="H406" s="1">
        <v>0</v>
      </c>
      <c r="I406" s="1">
        <v>1.6699999569999999</v>
      </c>
      <c r="J406" s="1">
        <v>0.02</v>
      </c>
      <c r="K406" s="1">
        <v>0</v>
      </c>
      <c r="L406" s="1">
        <v>0</v>
      </c>
      <c r="M406" s="1">
        <v>126</v>
      </c>
      <c r="N406" s="1">
        <v>1314</v>
      </c>
      <c r="O406" s="1">
        <v>1657</v>
      </c>
      <c r="P406" s="1" t="s">
        <v>17</v>
      </c>
      <c r="Q406" s="2"/>
      <c r="R406" s="1"/>
      <c r="S406" s="1"/>
      <c r="T406" s="1"/>
      <c r="U406" t="str">
        <f>TEXT(Merge2[[#This Row],[ActivityDate]],"dddd")</f>
        <v>Sunday</v>
      </c>
    </row>
    <row r="407" spans="1:21" x14ac:dyDescent="0.35">
      <c r="A407" s="1">
        <v>8378563200</v>
      </c>
      <c r="B407" s="2">
        <v>42470</v>
      </c>
      <c r="C407" s="1">
        <v>2631</v>
      </c>
      <c r="D407" s="1">
        <v>2.0899999139999998</v>
      </c>
      <c r="E407" s="1">
        <v>2.0899999139999998</v>
      </c>
      <c r="F407" s="1">
        <v>0</v>
      </c>
      <c r="G407" s="1">
        <v>0</v>
      </c>
      <c r="H407" s="1">
        <v>0</v>
      </c>
      <c r="I407" s="1">
        <v>2.0899999139999998</v>
      </c>
      <c r="J407" s="1">
        <v>0</v>
      </c>
      <c r="K407" s="1">
        <v>0</v>
      </c>
      <c r="L407" s="1">
        <v>0</v>
      </c>
      <c r="M407" s="1">
        <v>117</v>
      </c>
      <c r="N407" s="1">
        <v>727</v>
      </c>
      <c r="O407" s="1">
        <v>2624</v>
      </c>
      <c r="P407" s="1" t="s">
        <v>17</v>
      </c>
      <c r="Q407" s="2"/>
      <c r="R407" s="1"/>
      <c r="S407" s="1"/>
      <c r="T407" s="1"/>
      <c r="U407" t="str">
        <f>TEXT(Merge2[[#This Row],[ActivityDate]],"dddd")</f>
        <v>Sunday</v>
      </c>
    </row>
    <row r="408" spans="1:21" x14ac:dyDescent="0.35">
      <c r="A408" s="1">
        <v>8792009665</v>
      </c>
      <c r="B408" s="2">
        <v>42470</v>
      </c>
      <c r="C408" s="1">
        <v>4605</v>
      </c>
      <c r="D408" s="1">
        <v>2.9500000480000002</v>
      </c>
      <c r="E408" s="1">
        <v>2.9500000480000002</v>
      </c>
      <c r="F408" s="1">
        <v>0</v>
      </c>
      <c r="G408" s="1">
        <v>0</v>
      </c>
      <c r="H408" s="1">
        <v>0</v>
      </c>
      <c r="I408" s="1">
        <v>2.9500000480000002</v>
      </c>
      <c r="J408" s="1">
        <v>0</v>
      </c>
      <c r="K408" s="1">
        <v>0</v>
      </c>
      <c r="L408" s="1">
        <v>0</v>
      </c>
      <c r="M408" s="1">
        <v>179</v>
      </c>
      <c r="N408" s="1">
        <v>1261</v>
      </c>
      <c r="O408" s="1">
        <v>2253</v>
      </c>
      <c r="P408" s="1" t="s">
        <v>17</v>
      </c>
      <c r="Q408" s="2"/>
      <c r="R408" s="1"/>
      <c r="S408" s="1"/>
      <c r="T408" s="1"/>
      <c r="U408" t="str">
        <f>TEXT(Merge2[[#This Row],[ActivityDate]],"dddd")</f>
        <v>Sunday</v>
      </c>
    </row>
    <row r="409" spans="1:21" x14ac:dyDescent="0.35">
      <c r="A409" s="1">
        <v>8877689391</v>
      </c>
      <c r="B409" s="2">
        <v>42470</v>
      </c>
      <c r="C409" s="1">
        <v>28497</v>
      </c>
      <c r="D409" s="1">
        <v>27.530000690000001</v>
      </c>
      <c r="E409" s="1">
        <v>27.530000690000001</v>
      </c>
      <c r="F409" s="1">
        <v>0</v>
      </c>
      <c r="G409" s="1">
        <v>21.920000080000001</v>
      </c>
      <c r="H409" s="1">
        <v>1.1200000050000001</v>
      </c>
      <c r="I409" s="1">
        <v>4.4600000380000004</v>
      </c>
      <c r="J409" s="1">
        <v>0</v>
      </c>
      <c r="K409" s="1">
        <v>128</v>
      </c>
      <c r="L409" s="1">
        <v>46</v>
      </c>
      <c r="M409" s="1">
        <v>211</v>
      </c>
      <c r="N409" s="1">
        <v>1055</v>
      </c>
      <c r="O409" s="1">
        <v>4526</v>
      </c>
      <c r="P409" s="1" t="s">
        <v>16</v>
      </c>
      <c r="Q409" s="2"/>
      <c r="R409" s="1"/>
      <c r="S409" s="1"/>
      <c r="T409" s="1"/>
      <c r="U409" t="str">
        <f>TEXT(Merge2[[#This Row],[ActivityDate]],"dddd")</f>
        <v>Sunday</v>
      </c>
    </row>
    <row r="410" spans="1:21" x14ac:dyDescent="0.35">
      <c r="A410" s="1">
        <v>1503960366</v>
      </c>
      <c r="B410" s="2">
        <v>42471</v>
      </c>
      <c r="C410" s="1">
        <v>10990</v>
      </c>
      <c r="D410" s="1">
        <v>7.2600002290000001</v>
      </c>
      <c r="E410" s="1">
        <v>7.2600002290000001</v>
      </c>
      <c r="F410" s="1">
        <v>0</v>
      </c>
      <c r="G410" s="1">
        <v>2.039999962</v>
      </c>
      <c r="H410" s="1">
        <v>0.56999999300000004</v>
      </c>
      <c r="I410" s="1">
        <v>4.6500000950000002</v>
      </c>
      <c r="J410" s="1">
        <v>0</v>
      </c>
      <c r="K410" s="1">
        <v>26</v>
      </c>
      <c r="L410" s="1">
        <v>14</v>
      </c>
      <c r="M410" s="1">
        <v>216</v>
      </c>
      <c r="N410" s="1">
        <v>855</v>
      </c>
      <c r="O410" s="1">
        <v>1811</v>
      </c>
      <c r="P410" s="1" t="s">
        <v>16</v>
      </c>
      <c r="Q410" s="2"/>
      <c r="R410" s="1"/>
      <c r="S410" s="1"/>
      <c r="T410" s="1"/>
      <c r="U410" t="str">
        <f>TEXT(Merge2[[#This Row],[ActivityDate]],"dddd")</f>
        <v>Monday</v>
      </c>
    </row>
    <row r="411" spans="1:21" x14ac:dyDescent="0.35">
      <c r="A411" s="1">
        <v>1624580081</v>
      </c>
      <c r="B411" s="2">
        <v>42471</v>
      </c>
      <c r="C411" s="1">
        <v>10000</v>
      </c>
      <c r="D411" s="1">
        <v>6.5</v>
      </c>
      <c r="E411" s="1">
        <v>6.5</v>
      </c>
      <c r="F411" s="1">
        <v>0</v>
      </c>
      <c r="G411" s="1">
        <v>0</v>
      </c>
      <c r="H411" s="1">
        <v>0</v>
      </c>
      <c r="I411" s="1">
        <v>6.5</v>
      </c>
      <c r="J411" s="1">
        <v>0</v>
      </c>
      <c r="K411" s="1">
        <v>0</v>
      </c>
      <c r="L411" s="1">
        <v>0</v>
      </c>
      <c r="M411" s="1">
        <v>172</v>
      </c>
      <c r="N411" s="1">
        <v>1268</v>
      </c>
      <c r="O411" s="1">
        <v>1469</v>
      </c>
      <c r="P411" s="1" t="s">
        <v>16</v>
      </c>
      <c r="Q411" s="2"/>
      <c r="R411" s="1"/>
      <c r="S411" s="1"/>
      <c r="T411" s="1"/>
      <c r="U411" t="str">
        <f>TEXT(Merge2[[#This Row],[ActivityDate]],"dddd")</f>
        <v>Monday</v>
      </c>
    </row>
    <row r="412" spans="1:21" x14ac:dyDescent="0.35">
      <c r="A412" s="1">
        <v>1844505072</v>
      </c>
      <c r="B412" s="2">
        <v>42471</v>
      </c>
      <c r="C412" s="1">
        <v>5430</v>
      </c>
      <c r="D412" s="1">
        <v>3.5899999139999998</v>
      </c>
      <c r="E412" s="1">
        <v>3.5899999139999998</v>
      </c>
      <c r="F412" s="1">
        <v>0</v>
      </c>
      <c r="G412" s="1">
        <v>0</v>
      </c>
      <c r="H412" s="1">
        <v>0</v>
      </c>
      <c r="I412" s="1">
        <v>3.5899999139999998</v>
      </c>
      <c r="J412" s="1">
        <v>0</v>
      </c>
      <c r="K412" s="1">
        <v>0</v>
      </c>
      <c r="L412" s="1">
        <v>0</v>
      </c>
      <c r="M412" s="1">
        <v>251</v>
      </c>
      <c r="N412" s="1">
        <v>1189</v>
      </c>
      <c r="O412" s="1">
        <v>1888</v>
      </c>
      <c r="P412" s="1" t="s">
        <v>19</v>
      </c>
      <c r="Q412" s="2"/>
      <c r="R412" s="1"/>
      <c r="S412" s="1"/>
      <c r="T412" s="1"/>
      <c r="U412" t="str">
        <f>TEXT(Merge2[[#This Row],[ActivityDate]],"dddd")</f>
        <v>Monday</v>
      </c>
    </row>
    <row r="413" spans="1:21" x14ac:dyDescent="0.35">
      <c r="A413" s="1">
        <v>1927972279</v>
      </c>
      <c r="B413" s="2">
        <v>42471</v>
      </c>
      <c r="C413" s="1">
        <v>1209</v>
      </c>
      <c r="D413" s="1">
        <v>0.83999997400000004</v>
      </c>
      <c r="E413" s="1">
        <v>0.83999997400000004</v>
      </c>
      <c r="F413" s="1">
        <v>0</v>
      </c>
      <c r="G413" s="1">
        <v>0</v>
      </c>
      <c r="H413" s="1">
        <v>0</v>
      </c>
      <c r="I413" s="1">
        <v>0.83999997400000004</v>
      </c>
      <c r="J413" s="1">
        <v>0</v>
      </c>
      <c r="K413" s="1">
        <v>0</v>
      </c>
      <c r="L413" s="1">
        <v>0</v>
      </c>
      <c r="M413" s="1">
        <v>73</v>
      </c>
      <c r="N413" s="1">
        <v>842</v>
      </c>
      <c r="O413" s="1">
        <v>2255</v>
      </c>
      <c r="P413" s="1" t="s">
        <v>17</v>
      </c>
      <c r="Q413" s="2"/>
      <c r="R413" s="1"/>
      <c r="S413" s="1"/>
      <c r="T413" s="1"/>
      <c r="U413" t="str">
        <f>TEXT(Merge2[[#This Row],[ActivityDate]],"dddd")</f>
        <v>Monday</v>
      </c>
    </row>
    <row r="414" spans="1:21" x14ac:dyDescent="0.35">
      <c r="A414" s="1">
        <v>2022484408</v>
      </c>
      <c r="B414" s="2">
        <v>42471</v>
      </c>
      <c r="C414" s="1">
        <v>10106</v>
      </c>
      <c r="D414" s="1">
        <v>7.0900001530000001</v>
      </c>
      <c r="E414" s="1">
        <v>7.0900001530000001</v>
      </c>
      <c r="F414" s="1">
        <v>0</v>
      </c>
      <c r="G414" s="1">
        <v>1.210000038</v>
      </c>
      <c r="H414" s="1">
        <v>0.560000002</v>
      </c>
      <c r="I414" s="1">
        <v>5.329999924</v>
      </c>
      <c r="J414" s="1">
        <v>0</v>
      </c>
      <c r="K414" s="1">
        <v>41</v>
      </c>
      <c r="L414" s="1">
        <v>16</v>
      </c>
      <c r="M414" s="1">
        <v>272</v>
      </c>
      <c r="N414" s="1">
        <v>1111</v>
      </c>
      <c r="O414" s="1">
        <v>2568</v>
      </c>
      <c r="P414" s="1" t="s">
        <v>16</v>
      </c>
      <c r="Q414" s="2"/>
      <c r="R414" s="1"/>
      <c r="S414" s="1"/>
      <c r="T414" s="1"/>
      <c r="U414" t="str">
        <f>TEXT(Merge2[[#This Row],[ActivityDate]],"dddd")</f>
        <v>Monday</v>
      </c>
    </row>
    <row r="415" spans="1:21" x14ac:dyDescent="0.35">
      <c r="A415" s="1">
        <v>2026352035</v>
      </c>
      <c r="B415" s="2">
        <v>42471</v>
      </c>
      <c r="C415" s="1">
        <v>3279</v>
      </c>
      <c r="D415" s="1">
        <v>2.0299999710000001</v>
      </c>
      <c r="E415" s="1">
        <v>2.0299999710000001</v>
      </c>
      <c r="F415" s="1">
        <v>0</v>
      </c>
      <c r="G415" s="1">
        <v>0</v>
      </c>
      <c r="H415" s="1">
        <v>0</v>
      </c>
      <c r="I415" s="1">
        <v>2.0299999710000001</v>
      </c>
      <c r="J415" s="1">
        <v>0</v>
      </c>
      <c r="K415" s="1">
        <v>0</v>
      </c>
      <c r="L415" s="1">
        <v>0</v>
      </c>
      <c r="M415" s="1">
        <v>164</v>
      </c>
      <c r="N415" s="1">
        <v>694</v>
      </c>
      <c r="O415" s="1">
        <v>1405</v>
      </c>
      <c r="P415" s="1" t="s">
        <v>17</v>
      </c>
      <c r="Q415" s="2"/>
      <c r="R415" s="1"/>
      <c r="S415" s="1"/>
      <c r="T415" s="1"/>
      <c r="U415" t="str">
        <f>TEXT(Merge2[[#This Row],[ActivityDate]],"dddd")</f>
        <v>Monday</v>
      </c>
    </row>
    <row r="416" spans="1:21" x14ac:dyDescent="0.35">
      <c r="A416" s="1">
        <v>2320127002</v>
      </c>
      <c r="B416" s="2">
        <v>42471</v>
      </c>
      <c r="C416" s="1">
        <v>11230</v>
      </c>
      <c r="D416" s="1">
        <v>7.670000076</v>
      </c>
      <c r="E416" s="1">
        <v>7.670000076</v>
      </c>
      <c r="F416" s="1">
        <v>0</v>
      </c>
      <c r="G416" s="1">
        <v>0.88999998599999997</v>
      </c>
      <c r="H416" s="1">
        <v>0.119999997</v>
      </c>
      <c r="I416" s="1">
        <v>6.6599998469999999</v>
      </c>
      <c r="J416" s="1">
        <v>0</v>
      </c>
      <c r="K416" s="1">
        <v>10</v>
      </c>
      <c r="L416" s="1">
        <v>2</v>
      </c>
      <c r="M416" s="1">
        <v>390</v>
      </c>
      <c r="N416" s="1">
        <v>1038</v>
      </c>
      <c r="O416" s="1">
        <v>2206</v>
      </c>
      <c r="P416" s="1" t="s">
        <v>16</v>
      </c>
      <c r="Q416" s="2"/>
      <c r="R416" s="1"/>
      <c r="S416" s="1"/>
      <c r="T416" s="1"/>
      <c r="U416" t="str">
        <f>TEXT(Merge2[[#This Row],[ActivityDate]],"dddd")</f>
        <v>Monday</v>
      </c>
    </row>
    <row r="417" spans="1:21" x14ac:dyDescent="0.35">
      <c r="A417" s="1">
        <v>2347167796</v>
      </c>
      <c r="B417" s="2">
        <v>42471</v>
      </c>
      <c r="C417" s="1">
        <v>10001</v>
      </c>
      <c r="D417" s="1">
        <v>6.6100001339999999</v>
      </c>
      <c r="E417" s="1">
        <v>6.6100001339999999</v>
      </c>
      <c r="F417" s="1">
        <v>0</v>
      </c>
      <c r="G417" s="1">
        <v>0.33000001299999998</v>
      </c>
      <c r="H417" s="1">
        <v>2.9300000669999999</v>
      </c>
      <c r="I417" s="1">
        <v>3.3599998950000001</v>
      </c>
      <c r="J417" s="1">
        <v>0</v>
      </c>
      <c r="K417" s="1">
        <v>5</v>
      </c>
      <c r="L417" s="1">
        <v>52</v>
      </c>
      <c r="M417" s="1">
        <v>196</v>
      </c>
      <c r="N417" s="1">
        <v>788</v>
      </c>
      <c r="O417" s="1">
        <v>2009</v>
      </c>
      <c r="P417" s="1" t="s">
        <v>16</v>
      </c>
      <c r="Q417" s="2"/>
      <c r="R417" s="1"/>
      <c r="S417" s="1"/>
      <c r="T417" s="1"/>
      <c r="U417" t="str">
        <f>TEXT(Merge2[[#This Row],[ActivityDate]],"dddd")</f>
        <v>Monday</v>
      </c>
    </row>
    <row r="418" spans="1:21" x14ac:dyDescent="0.35">
      <c r="A418" s="1">
        <v>2873212765</v>
      </c>
      <c r="B418" s="2">
        <v>42471</v>
      </c>
      <c r="C418" s="1">
        <v>7497</v>
      </c>
      <c r="D418" s="1">
        <v>5.0399999619999996</v>
      </c>
      <c r="E418" s="1">
        <v>5.0399999619999996</v>
      </c>
      <c r="F418" s="1">
        <v>0</v>
      </c>
      <c r="G418" s="1">
        <v>0</v>
      </c>
      <c r="H418" s="1">
        <v>0</v>
      </c>
      <c r="I418" s="1">
        <v>5.0399999619999996</v>
      </c>
      <c r="J418" s="1">
        <v>0</v>
      </c>
      <c r="K418" s="1">
        <v>0</v>
      </c>
      <c r="L418" s="1">
        <v>0</v>
      </c>
      <c r="M418" s="1">
        <v>357</v>
      </c>
      <c r="N418" s="1">
        <v>882</v>
      </c>
      <c r="O418" s="1">
        <v>1741</v>
      </c>
      <c r="P418" s="1" t="s">
        <v>19</v>
      </c>
      <c r="Q418" s="2"/>
      <c r="R418" s="1"/>
      <c r="S418" s="1"/>
      <c r="T418" s="1"/>
      <c r="U418" t="str">
        <f>TEXT(Merge2[[#This Row],[ActivityDate]],"dddd")</f>
        <v>Monday</v>
      </c>
    </row>
    <row r="419" spans="1:21" x14ac:dyDescent="0.35">
      <c r="A419" s="1">
        <v>3977333714</v>
      </c>
      <c r="B419" s="2">
        <v>42471</v>
      </c>
      <c r="C419" s="1">
        <v>3108</v>
      </c>
      <c r="D419" s="1">
        <v>2.1400001049999999</v>
      </c>
      <c r="E419" s="1">
        <v>2.1400001049999999</v>
      </c>
      <c r="F419" s="1">
        <v>0</v>
      </c>
      <c r="G419" s="1">
        <v>7.0000000000000007E-2</v>
      </c>
      <c r="H419" s="1">
        <v>3.9999999000000001E-2</v>
      </c>
      <c r="I419" s="1">
        <v>1.960000038</v>
      </c>
      <c r="J419" s="1">
        <v>0</v>
      </c>
      <c r="K419" s="1">
        <v>1</v>
      </c>
      <c r="L419" s="1">
        <v>1</v>
      </c>
      <c r="M419" s="1">
        <v>129</v>
      </c>
      <c r="N419" s="1">
        <v>894</v>
      </c>
      <c r="O419" s="1">
        <v>1223</v>
      </c>
      <c r="P419" s="1" t="s">
        <v>17</v>
      </c>
      <c r="Q419" s="2"/>
      <c r="R419" s="1"/>
      <c r="S419" s="1"/>
      <c r="T419" s="1"/>
      <c r="U419" t="str">
        <f>TEXT(Merge2[[#This Row],[ActivityDate]],"dddd")</f>
        <v>Monday</v>
      </c>
    </row>
    <row r="420" spans="1:21" x14ac:dyDescent="0.35">
      <c r="A420" s="1">
        <v>4020332650</v>
      </c>
      <c r="B420" s="2">
        <v>42471</v>
      </c>
      <c r="C420" s="1">
        <v>2993</v>
      </c>
      <c r="D420" s="1">
        <v>2.1500000950000002</v>
      </c>
      <c r="E420" s="1">
        <v>2.1500000950000002</v>
      </c>
      <c r="F420" s="1">
        <v>0</v>
      </c>
      <c r="G420" s="1">
        <v>0</v>
      </c>
      <c r="H420" s="1">
        <v>0</v>
      </c>
      <c r="I420" s="1">
        <v>2.0899999139999998</v>
      </c>
      <c r="J420" s="1">
        <v>0</v>
      </c>
      <c r="K420" s="1">
        <v>0</v>
      </c>
      <c r="L420" s="1">
        <v>0</v>
      </c>
      <c r="M420" s="1">
        <v>114</v>
      </c>
      <c r="N420" s="1">
        <v>888</v>
      </c>
      <c r="O420" s="1">
        <v>2507</v>
      </c>
      <c r="P420" s="1" t="s">
        <v>17</v>
      </c>
      <c r="Q420" s="2"/>
      <c r="R420" s="1"/>
      <c r="S420" s="1"/>
      <c r="T420" s="1"/>
      <c r="U420" t="str">
        <f>TEXT(Merge2[[#This Row],[ActivityDate]],"dddd")</f>
        <v>Monday</v>
      </c>
    </row>
    <row r="421" spans="1:21" x14ac:dyDescent="0.35">
      <c r="A421" s="1">
        <v>4057192912</v>
      </c>
      <c r="B421" s="2">
        <v>42471</v>
      </c>
      <c r="C421" s="1">
        <v>6801</v>
      </c>
      <c r="D421" s="1">
        <v>4.9800000190000002</v>
      </c>
      <c r="E421" s="1">
        <v>4.9800000190000002</v>
      </c>
      <c r="F421" s="1">
        <v>0</v>
      </c>
      <c r="G421" s="1">
        <v>0</v>
      </c>
      <c r="H421" s="1">
        <v>0</v>
      </c>
      <c r="I421" s="1">
        <v>4.9699997900000001</v>
      </c>
      <c r="J421" s="1">
        <v>0</v>
      </c>
      <c r="K421" s="1">
        <v>0</v>
      </c>
      <c r="L421" s="1">
        <v>0</v>
      </c>
      <c r="M421" s="1">
        <v>193</v>
      </c>
      <c r="N421" s="1">
        <v>1247</v>
      </c>
      <c r="O421" s="1">
        <v>2393</v>
      </c>
      <c r="P421" s="1" t="s">
        <v>19</v>
      </c>
      <c r="Q421" s="2"/>
      <c r="R421" s="1"/>
      <c r="S421" s="1"/>
      <c r="T421" s="1"/>
      <c r="U421" t="str">
        <f>TEXT(Merge2[[#This Row],[ActivityDate]],"dddd")</f>
        <v>Monday</v>
      </c>
    </row>
    <row r="422" spans="1:21" x14ac:dyDescent="0.35">
      <c r="A422" s="1">
        <v>4445114986</v>
      </c>
      <c r="B422" s="2">
        <v>42471</v>
      </c>
      <c r="C422" s="1">
        <v>5986</v>
      </c>
      <c r="D422" s="1">
        <v>4.1300001139999996</v>
      </c>
      <c r="E422" s="1">
        <v>4.1300001139999996</v>
      </c>
      <c r="F422" s="1">
        <v>0</v>
      </c>
      <c r="G422" s="1">
        <v>1.9500000479999999</v>
      </c>
      <c r="H422" s="1">
        <v>0.23000000400000001</v>
      </c>
      <c r="I422" s="1">
        <v>1.9500000479999999</v>
      </c>
      <c r="J422" s="1">
        <v>0</v>
      </c>
      <c r="K422" s="1">
        <v>23</v>
      </c>
      <c r="L422" s="1">
        <v>5</v>
      </c>
      <c r="M422" s="1">
        <v>195</v>
      </c>
      <c r="N422" s="1">
        <v>789</v>
      </c>
      <c r="O422" s="1">
        <v>2297</v>
      </c>
      <c r="P422" s="1" t="s">
        <v>19</v>
      </c>
      <c r="Q422" s="2"/>
      <c r="R422" s="1"/>
      <c r="S422" s="1"/>
      <c r="T422" s="1"/>
      <c r="U422" t="str">
        <f>TEXT(Merge2[[#This Row],[ActivityDate]],"dddd")</f>
        <v>Monday</v>
      </c>
    </row>
    <row r="423" spans="1:21" x14ac:dyDescent="0.35">
      <c r="A423" s="1">
        <v>4558609924</v>
      </c>
      <c r="B423" s="2">
        <v>42471</v>
      </c>
      <c r="C423" s="1">
        <v>8828</v>
      </c>
      <c r="D423" s="1">
        <v>5.8400001530000001</v>
      </c>
      <c r="E423" s="1">
        <v>5.8400001530000001</v>
      </c>
      <c r="F423" s="1">
        <v>0</v>
      </c>
      <c r="G423" s="1">
        <v>0</v>
      </c>
      <c r="H423" s="1">
        <v>0</v>
      </c>
      <c r="I423" s="1">
        <v>5.8400001530000001</v>
      </c>
      <c r="J423" s="1">
        <v>0</v>
      </c>
      <c r="K423" s="1">
        <v>0</v>
      </c>
      <c r="L423" s="1">
        <v>0</v>
      </c>
      <c r="M423" s="1">
        <v>308</v>
      </c>
      <c r="N423" s="1">
        <v>1132</v>
      </c>
      <c r="O423" s="1">
        <v>2149</v>
      </c>
      <c r="P423" s="1" t="s">
        <v>18</v>
      </c>
      <c r="Q423" s="2"/>
      <c r="R423" s="1"/>
      <c r="S423" s="1"/>
      <c r="T423" s="1"/>
      <c r="U423" t="str">
        <f>TEXT(Merge2[[#This Row],[ActivityDate]],"dddd")</f>
        <v>Monday</v>
      </c>
    </row>
    <row r="424" spans="1:21" x14ac:dyDescent="0.35">
      <c r="A424" s="1">
        <v>4702921684</v>
      </c>
      <c r="B424" s="2">
        <v>42471</v>
      </c>
      <c r="C424" s="1">
        <v>6499</v>
      </c>
      <c r="D424" s="1">
        <v>5.2699999809999998</v>
      </c>
      <c r="E424" s="1">
        <v>5.2699999809999998</v>
      </c>
      <c r="F424" s="1">
        <v>0</v>
      </c>
      <c r="G424" s="1">
        <v>0</v>
      </c>
      <c r="H424" s="1">
        <v>0</v>
      </c>
      <c r="I424" s="1">
        <v>5.2699999809999998</v>
      </c>
      <c r="J424" s="1">
        <v>0</v>
      </c>
      <c r="K424" s="1">
        <v>0</v>
      </c>
      <c r="L424" s="1">
        <v>0</v>
      </c>
      <c r="M424" s="1">
        <v>207</v>
      </c>
      <c r="N424" s="1">
        <v>809</v>
      </c>
      <c r="O424" s="1">
        <v>2677</v>
      </c>
      <c r="P424" s="1" t="s">
        <v>19</v>
      </c>
      <c r="Q424" s="2"/>
      <c r="R424" s="1"/>
      <c r="S424" s="1"/>
      <c r="T424" s="1"/>
      <c r="U424" t="str">
        <f>TEXT(Merge2[[#This Row],[ActivityDate]],"dddd")</f>
        <v>Monday</v>
      </c>
    </row>
    <row r="425" spans="1:21" x14ac:dyDescent="0.35">
      <c r="A425" s="1">
        <v>5553957443</v>
      </c>
      <c r="B425" s="2">
        <v>42471</v>
      </c>
      <c r="C425" s="1">
        <v>11906</v>
      </c>
      <c r="D425" s="1">
        <v>7.7699999809999998</v>
      </c>
      <c r="E425" s="1">
        <v>7.7699999809999998</v>
      </c>
      <c r="F425" s="1">
        <v>0</v>
      </c>
      <c r="G425" s="1">
        <v>2.2599999899999998</v>
      </c>
      <c r="H425" s="1">
        <v>1.519999981</v>
      </c>
      <c r="I425" s="1">
        <v>3.9900000100000002</v>
      </c>
      <c r="J425" s="1">
        <v>0</v>
      </c>
      <c r="K425" s="1">
        <v>32</v>
      </c>
      <c r="L425" s="1">
        <v>27</v>
      </c>
      <c r="M425" s="1">
        <v>234</v>
      </c>
      <c r="N425" s="1">
        <v>688</v>
      </c>
      <c r="O425" s="1">
        <v>2065</v>
      </c>
      <c r="P425" s="1" t="s">
        <v>16</v>
      </c>
      <c r="Q425" s="2"/>
      <c r="R425" s="1"/>
      <c r="S425" s="1"/>
      <c r="T425" s="1"/>
      <c r="U425" t="str">
        <f>TEXT(Merge2[[#This Row],[ActivityDate]],"dddd")</f>
        <v>Monday</v>
      </c>
    </row>
    <row r="426" spans="1:21" x14ac:dyDescent="0.35">
      <c r="A426" s="1">
        <v>5577150313</v>
      </c>
      <c r="B426" s="2">
        <v>42471</v>
      </c>
      <c r="C426" s="1">
        <v>2862</v>
      </c>
      <c r="D426" s="1">
        <v>2.1400001049999999</v>
      </c>
      <c r="E426" s="1">
        <v>2.1400001049999999</v>
      </c>
      <c r="F426" s="1">
        <v>0</v>
      </c>
      <c r="G426" s="1">
        <v>1.039999962</v>
      </c>
      <c r="H426" s="1">
        <v>0.25</v>
      </c>
      <c r="I426" s="1">
        <v>0.83999997400000004</v>
      </c>
      <c r="J426" s="1">
        <v>0</v>
      </c>
      <c r="K426" s="1">
        <v>39</v>
      </c>
      <c r="L426" s="1">
        <v>17</v>
      </c>
      <c r="M426" s="1">
        <v>54</v>
      </c>
      <c r="N426" s="1">
        <v>209</v>
      </c>
      <c r="O426" s="1">
        <v>1511</v>
      </c>
      <c r="P426" s="1" t="s">
        <v>17</v>
      </c>
      <c r="Q426" s="2"/>
      <c r="R426" s="1"/>
      <c r="S426" s="1"/>
      <c r="T426" s="1"/>
      <c r="U426" t="str">
        <f>TEXT(Merge2[[#This Row],[ActivityDate]],"dddd")</f>
        <v>Monday</v>
      </c>
    </row>
    <row r="427" spans="1:21" x14ac:dyDescent="0.35">
      <c r="A427" s="1">
        <v>6962181067</v>
      </c>
      <c r="B427" s="2">
        <v>42471</v>
      </c>
      <c r="C427" s="1">
        <v>12362</v>
      </c>
      <c r="D427" s="1">
        <v>9.0900001530000001</v>
      </c>
      <c r="E427" s="1">
        <v>8.1700000760000009</v>
      </c>
      <c r="F427" s="1">
        <v>2.696455002</v>
      </c>
      <c r="G427" s="1">
        <v>1.0900000329999999</v>
      </c>
      <c r="H427" s="1">
        <v>2.7300000190000002</v>
      </c>
      <c r="I427" s="1">
        <v>5.2699999809999998</v>
      </c>
      <c r="J427" s="1">
        <v>0</v>
      </c>
      <c r="K427" s="1">
        <v>21</v>
      </c>
      <c r="L427" s="1">
        <v>38</v>
      </c>
      <c r="M427" s="1">
        <v>297</v>
      </c>
      <c r="N427" s="1">
        <v>678</v>
      </c>
      <c r="O427" s="1">
        <v>2188</v>
      </c>
      <c r="P427" s="1" t="s">
        <v>16</v>
      </c>
      <c r="Q427" s="2"/>
      <c r="R427" s="1"/>
      <c r="S427" s="1"/>
      <c r="T427" s="1"/>
      <c r="U427" t="str">
        <f>TEXT(Merge2[[#This Row],[ActivityDate]],"dddd")</f>
        <v>Monday</v>
      </c>
    </row>
    <row r="428" spans="1:21" x14ac:dyDescent="0.35">
      <c r="A428" s="1">
        <v>7007744171</v>
      </c>
      <c r="B428" s="2">
        <v>42471</v>
      </c>
      <c r="C428" s="1">
        <v>12168</v>
      </c>
      <c r="D428" s="1">
        <v>8.1400003430000005</v>
      </c>
      <c r="E428" s="1">
        <v>8.1400003430000005</v>
      </c>
      <c r="F428" s="1">
        <v>0</v>
      </c>
      <c r="G428" s="1">
        <v>1.0499999520000001</v>
      </c>
      <c r="H428" s="1">
        <v>0.790000021</v>
      </c>
      <c r="I428" s="1">
        <v>6.2899999619999996</v>
      </c>
      <c r="J428" s="1">
        <v>0</v>
      </c>
      <c r="K428" s="1">
        <v>18</v>
      </c>
      <c r="L428" s="1">
        <v>27</v>
      </c>
      <c r="M428" s="1">
        <v>375</v>
      </c>
      <c r="N428" s="1">
        <v>1020</v>
      </c>
      <c r="O428" s="1">
        <v>2871</v>
      </c>
      <c r="P428" s="1" t="s">
        <v>16</v>
      </c>
      <c r="Q428" s="2"/>
      <c r="R428" s="1"/>
      <c r="S428" s="1"/>
      <c r="T428" s="1"/>
      <c r="U428" t="str">
        <f>TEXT(Merge2[[#This Row],[ActivityDate]],"dddd")</f>
        <v>Monday</v>
      </c>
    </row>
    <row r="429" spans="1:21" x14ac:dyDescent="0.35">
      <c r="A429" s="1">
        <v>7086361926</v>
      </c>
      <c r="B429" s="2">
        <v>42471</v>
      </c>
      <c r="C429" s="1">
        <v>6242</v>
      </c>
      <c r="D429" s="1">
        <v>3.920000076</v>
      </c>
      <c r="E429" s="1">
        <v>3.920000076</v>
      </c>
      <c r="F429" s="1">
        <v>0</v>
      </c>
      <c r="G429" s="1">
        <v>0.74000001000000004</v>
      </c>
      <c r="H429" s="1">
        <v>0.23000000400000001</v>
      </c>
      <c r="I429" s="1">
        <v>2.9300000669999999</v>
      </c>
      <c r="J429" s="1">
        <v>0</v>
      </c>
      <c r="K429" s="1">
        <v>46</v>
      </c>
      <c r="L429" s="1">
        <v>22</v>
      </c>
      <c r="M429" s="1">
        <v>126</v>
      </c>
      <c r="N429" s="1">
        <v>741</v>
      </c>
      <c r="O429" s="1">
        <v>2543</v>
      </c>
      <c r="P429" s="1" t="s">
        <v>19</v>
      </c>
      <c r="Q429" s="2"/>
      <c r="R429" s="1"/>
      <c r="S429" s="1"/>
      <c r="T429" s="1"/>
      <c r="U429" t="str">
        <f>TEXT(Merge2[[#This Row],[ActivityDate]],"dddd")</f>
        <v>Monday</v>
      </c>
    </row>
    <row r="430" spans="1:21" x14ac:dyDescent="0.35">
      <c r="A430" s="1">
        <v>8053475328</v>
      </c>
      <c r="B430" s="2">
        <v>42471</v>
      </c>
      <c r="C430" s="1">
        <v>16064</v>
      </c>
      <c r="D430" s="1">
        <v>12.72000027</v>
      </c>
      <c r="E430" s="1">
        <v>12.72000027</v>
      </c>
      <c r="F430" s="1">
        <v>0</v>
      </c>
      <c r="G430" s="1">
        <v>9.9799995419999998</v>
      </c>
      <c r="H430" s="1">
        <v>0.36000001399999998</v>
      </c>
      <c r="I430" s="1">
        <v>2.380000114</v>
      </c>
      <c r="J430" s="1">
        <v>0</v>
      </c>
      <c r="K430" s="1">
        <v>96</v>
      </c>
      <c r="L430" s="1">
        <v>8</v>
      </c>
      <c r="M430" s="1">
        <v>155</v>
      </c>
      <c r="N430" s="1">
        <v>1181</v>
      </c>
      <c r="O430" s="1">
        <v>3097</v>
      </c>
      <c r="P430" s="1" t="s">
        <v>16</v>
      </c>
      <c r="Q430" s="2"/>
      <c r="R430" s="1"/>
      <c r="S430" s="1"/>
      <c r="T430" s="1"/>
      <c r="U430" t="str">
        <f>TEXT(Merge2[[#This Row],[ActivityDate]],"dddd")</f>
        <v>Monday</v>
      </c>
    </row>
    <row r="431" spans="1:21" x14ac:dyDescent="0.35">
      <c r="A431" s="1">
        <v>8253242879</v>
      </c>
      <c r="B431" s="2">
        <v>42471</v>
      </c>
      <c r="C431" s="1">
        <v>1636</v>
      </c>
      <c r="D431" s="1">
        <v>1.0800000430000001</v>
      </c>
      <c r="E431" s="1">
        <v>1.0800000430000001</v>
      </c>
      <c r="F431" s="1">
        <v>0</v>
      </c>
      <c r="G431" s="1">
        <v>0</v>
      </c>
      <c r="H431" s="1">
        <v>0</v>
      </c>
      <c r="I431" s="1">
        <v>1.0800000430000001</v>
      </c>
      <c r="J431" s="1">
        <v>0</v>
      </c>
      <c r="K431" s="1">
        <v>0</v>
      </c>
      <c r="L431" s="1">
        <v>0</v>
      </c>
      <c r="M431" s="1">
        <v>86</v>
      </c>
      <c r="N431" s="1">
        <v>1139</v>
      </c>
      <c r="O431" s="1">
        <v>1377</v>
      </c>
      <c r="P431" s="1" t="s">
        <v>17</v>
      </c>
      <c r="Q431" s="2"/>
      <c r="R431" s="1"/>
      <c r="S431" s="1"/>
      <c r="T431" s="1"/>
      <c r="U431" t="str">
        <f>TEXT(Merge2[[#This Row],[ActivityDate]],"dddd")</f>
        <v>Monday</v>
      </c>
    </row>
    <row r="432" spans="1:21" x14ac:dyDescent="0.35">
      <c r="A432" s="1">
        <v>8378563200</v>
      </c>
      <c r="B432" s="2">
        <v>42471</v>
      </c>
      <c r="C432" s="1">
        <v>8837</v>
      </c>
      <c r="D432" s="1">
        <v>7.0100002290000001</v>
      </c>
      <c r="E432" s="1">
        <v>7.0100002290000001</v>
      </c>
      <c r="F432" s="1">
        <v>2.0921471120000001</v>
      </c>
      <c r="G432" s="1">
        <v>1.539999962</v>
      </c>
      <c r="H432" s="1">
        <v>0.87999999500000003</v>
      </c>
      <c r="I432" s="1">
        <v>4.5900001530000001</v>
      </c>
      <c r="J432" s="1">
        <v>0</v>
      </c>
      <c r="K432" s="1">
        <v>74</v>
      </c>
      <c r="L432" s="1">
        <v>17</v>
      </c>
      <c r="M432" s="1">
        <v>182</v>
      </c>
      <c r="N432" s="1">
        <v>811</v>
      </c>
      <c r="O432" s="1">
        <v>3775</v>
      </c>
      <c r="P432" s="1" t="s">
        <v>18</v>
      </c>
      <c r="Q432" s="2"/>
      <c r="R432" s="1"/>
      <c r="S432" s="1"/>
      <c r="T432" s="1"/>
      <c r="U432" t="str">
        <f>TEXT(Merge2[[#This Row],[ActivityDate]],"dddd")</f>
        <v>Monday</v>
      </c>
    </row>
    <row r="433" spans="1:21" x14ac:dyDescent="0.35">
      <c r="A433" s="1">
        <v>8792009665</v>
      </c>
      <c r="B433" s="2">
        <v>42471</v>
      </c>
      <c r="C433" s="1">
        <v>178</v>
      </c>
      <c r="D433" s="1">
        <v>0.109999999</v>
      </c>
      <c r="E433" s="1">
        <v>0.109999999</v>
      </c>
      <c r="F433" s="1">
        <v>0</v>
      </c>
      <c r="G433" s="1">
        <v>0</v>
      </c>
      <c r="H433" s="1">
        <v>0</v>
      </c>
      <c r="I433" s="1">
        <v>0.109999999</v>
      </c>
      <c r="J433" s="1">
        <v>0</v>
      </c>
      <c r="K433" s="1">
        <v>0</v>
      </c>
      <c r="L433" s="1">
        <v>0</v>
      </c>
      <c r="M433" s="1">
        <v>12</v>
      </c>
      <c r="N433" s="1">
        <v>1428</v>
      </c>
      <c r="O433" s="1">
        <v>1725</v>
      </c>
      <c r="P433" s="1" t="s">
        <v>17</v>
      </c>
      <c r="Q433" s="2"/>
      <c r="R433" s="1"/>
      <c r="S433" s="1"/>
      <c r="T433" s="1"/>
      <c r="U433" t="str">
        <f>TEXT(Merge2[[#This Row],[ActivityDate]],"dddd")</f>
        <v>Monday</v>
      </c>
    </row>
    <row r="434" spans="1:21" x14ac:dyDescent="0.35">
      <c r="A434" s="1">
        <v>8877689391</v>
      </c>
      <c r="B434" s="2">
        <v>42471</v>
      </c>
      <c r="C434" s="1">
        <v>10622</v>
      </c>
      <c r="D434" s="1">
        <v>8.0600004199999997</v>
      </c>
      <c r="E434" s="1">
        <v>8.0600004199999997</v>
      </c>
      <c r="F434" s="1">
        <v>0</v>
      </c>
      <c r="G434" s="1">
        <v>1.4700000289999999</v>
      </c>
      <c r="H434" s="1">
        <v>0.15000000599999999</v>
      </c>
      <c r="I434" s="1">
        <v>6.3699998860000004</v>
      </c>
      <c r="J434" s="1">
        <v>0.01</v>
      </c>
      <c r="K434" s="1">
        <v>18</v>
      </c>
      <c r="L434" s="1">
        <v>7</v>
      </c>
      <c r="M434" s="1">
        <v>225</v>
      </c>
      <c r="N434" s="1">
        <v>1190</v>
      </c>
      <c r="O434" s="1">
        <v>2820</v>
      </c>
      <c r="P434" s="1" t="s">
        <v>16</v>
      </c>
      <c r="Q434" s="2"/>
      <c r="R434" s="1"/>
      <c r="S434" s="1"/>
      <c r="T434" s="1"/>
      <c r="U434" t="str">
        <f>TEXT(Merge2[[#This Row],[ActivityDate]],"dddd")</f>
        <v>Monday</v>
      </c>
    </row>
    <row r="435" spans="1:21" x14ac:dyDescent="0.35">
      <c r="A435" s="1">
        <v>1503960366</v>
      </c>
      <c r="B435" s="2">
        <v>42472</v>
      </c>
      <c r="C435" s="1">
        <v>224</v>
      </c>
      <c r="D435" s="1">
        <v>0.14000000100000001</v>
      </c>
      <c r="E435" s="1">
        <v>0.14000000100000001</v>
      </c>
      <c r="F435" s="1">
        <v>0</v>
      </c>
      <c r="G435" s="1">
        <v>0</v>
      </c>
      <c r="H435" s="1">
        <v>0</v>
      </c>
      <c r="I435" s="1">
        <v>0.12999999500000001</v>
      </c>
      <c r="J435" s="1">
        <v>0</v>
      </c>
      <c r="K435" s="1">
        <v>0</v>
      </c>
      <c r="L435" s="1">
        <v>0</v>
      </c>
      <c r="M435" s="1">
        <v>9</v>
      </c>
      <c r="N435" s="1">
        <v>32</v>
      </c>
      <c r="O435" s="1">
        <v>50</v>
      </c>
      <c r="P435" s="1" t="s">
        <v>17</v>
      </c>
      <c r="Q435" s="2">
        <v>42472</v>
      </c>
      <c r="R435" s="1">
        <v>1</v>
      </c>
      <c r="S435" s="1">
        <v>327</v>
      </c>
      <c r="T435" s="1">
        <v>346</v>
      </c>
      <c r="U435" t="str">
        <f>TEXT(Merge2[[#This Row],[ActivityDate]],"dddd")</f>
        <v>Tuesday</v>
      </c>
    </row>
    <row r="436" spans="1:21" x14ac:dyDescent="0.35">
      <c r="A436" s="1">
        <v>1927972279</v>
      </c>
      <c r="B436" s="2">
        <v>42472</v>
      </c>
      <c r="C436" s="1">
        <v>24</v>
      </c>
      <c r="D436" s="1">
        <v>0.02</v>
      </c>
      <c r="E436" s="1">
        <v>0.02</v>
      </c>
      <c r="F436" s="1">
        <v>0</v>
      </c>
      <c r="G436" s="1">
        <v>0</v>
      </c>
      <c r="H436" s="1">
        <v>0</v>
      </c>
      <c r="I436" s="1">
        <v>0.02</v>
      </c>
      <c r="J436" s="1">
        <v>0</v>
      </c>
      <c r="K436" s="1">
        <v>0</v>
      </c>
      <c r="L436" s="1">
        <v>0</v>
      </c>
      <c r="M436" s="1">
        <v>3</v>
      </c>
      <c r="N436" s="1">
        <v>161</v>
      </c>
      <c r="O436" s="1">
        <v>942</v>
      </c>
      <c r="P436" s="1" t="s">
        <v>17</v>
      </c>
      <c r="Q436" s="2">
        <v>42472</v>
      </c>
      <c r="R436" s="1">
        <v>3</v>
      </c>
      <c r="S436" s="1">
        <v>750</v>
      </c>
      <c r="T436" s="1">
        <v>775</v>
      </c>
      <c r="U436" t="str">
        <f>TEXT(Merge2[[#This Row],[ActivityDate]],"dddd")</f>
        <v>Tuesday</v>
      </c>
    </row>
    <row r="437" spans="1:21" x14ac:dyDescent="0.35">
      <c r="A437" s="1">
        <v>1624580081</v>
      </c>
      <c r="B437" s="2">
        <v>42472</v>
      </c>
      <c r="C437" s="1">
        <v>6627</v>
      </c>
      <c r="D437" s="1">
        <v>4.3099999430000002</v>
      </c>
      <c r="E437" s="1">
        <v>4.3099999430000002</v>
      </c>
      <c r="F437" s="1">
        <v>0</v>
      </c>
      <c r="G437" s="1">
        <v>0</v>
      </c>
      <c r="H437" s="1">
        <v>0</v>
      </c>
      <c r="I437" s="1">
        <v>4.3099999430000002</v>
      </c>
      <c r="J437" s="1">
        <v>0</v>
      </c>
      <c r="K437" s="1">
        <v>0</v>
      </c>
      <c r="L437" s="1">
        <v>0</v>
      </c>
      <c r="M437" s="1">
        <v>89</v>
      </c>
      <c r="N437" s="1">
        <v>604</v>
      </c>
      <c r="O437" s="1">
        <v>706</v>
      </c>
      <c r="P437" s="1" t="s">
        <v>19</v>
      </c>
      <c r="Q437" s="2"/>
      <c r="R437" s="1"/>
      <c r="S437" s="1"/>
      <c r="T437" s="1"/>
      <c r="U437" t="str">
        <f>TEXT(Merge2[[#This Row],[ActivityDate]],"dddd")</f>
        <v>Tuesday</v>
      </c>
    </row>
    <row r="438" spans="1:21" x14ac:dyDescent="0.35">
      <c r="A438" s="1">
        <v>2026352035</v>
      </c>
      <c r="B438" s="2">
        <v>42472</v>
      </c>
      <c r="C438" s="1">
        <v>1019</v>
      </c>
      <c r="D438" s="1">
        <v>0.62999999500000003</v>
      </c>
      <c r="E438" s="1">
        <v>0.62999999500000003</v>
      </c>
      <c r="F438" s="1">
        <v>0</v>
      </c>
      <c r="G438" s="1">
        <v>0</v>
      </c>
      <c r="H438" s="1">
        <v>0</v>
      </c>
      <c r="I438" s="1">
        <v>0.62999999500000003</v>
      </c>
      <c r="J438" s="1">
        <v>0</v>
      </c>
      <c r="K438" s="1">
        <v>0</v>
      </c>
      <c r="L438" s="1">
        <v>0</v>
      </c>
      <c r="M438" s="1">
        <v>64</v>
      </c>
      <c r="N438" s="1">
        <v>223</v>
      </c>
      <c r="O438" s="1">
        <v>600</v>
      </c>
      <c r="P438" s="1" t="s">
        <v>17</v>
      </c>
      <c r="Q438" s="2">
        <v>42472</v>
      </c>
      <c r="R438" s="1">
        <v>1</v>
      </c>
      <c r="S438" s="1">
        <v>503</v>
      </c>
      <c r="T438" s="1">
        <v>546</v>
      </c>
      <c r="U438" t="str">
        <f>TEXT(Merge2[[#This Row],[ActivityDate]],"dddd")</f>
        <v>Tuesday</v>
      </c>
    </row>
    <row r="439" spans="1:21" x14ac:dyDescent="0.35">
      <c r="A439" s="1">
        <v>1844505072</v>
      </c>
      <c r="B439" s="2">
        <v>42472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426</v>
      </c>
      <c r="O439" s="1">
        <v>399</v>
      </c>
      <c r="P439" s="1" t="s">
        <v>17</v>
      </c>
      <c r="Q439" s="2"/>
      <c r="R439" s="1"/>
      <c r="S439" s="1"/>
      <c r="T439" s="1"/>
      <c r="U439" t="str">
        <f>TEXT(Merge2[[#This Row],[ActivityDate]],"dddd")</f>
        <v>Tuesday</v>
      </c>
    </row>
    <row r="440" spans="1:21" x14ac:dyDescent="0.35">
      <c r="A440" s="1">
        <v>3977333714</v>
      </c>
      <c r="B440" s="2">
        <v>42472</v>
      </c>
      <c r="C440" s="1">
        <v>759</v>
      </c>
      <c r="D440" s="1">
        <v>0.56999999300000004</v>
      </c>
      <c r="E440" s="1">
        <v>0.56999999300000004</v>
      </c>
      <c r="F440" s="1">
        <v>0</v>
      </c>
      <c r="G440" s="1">
        <v>0</v>
      </c>
      <c r="H440" s="1">
        <v>0</v>
      </c>
      <c r="I440" s="1">
        <v>0.56999999300000004</v>
      </c>
      <c r="J440" s="1">
        <v>0</v>
      </c>
      <c r="K440" s="1">
        <v>0</v>
      </c>
      <c r="L440" s="1">
        <v>0</v>
      </c>
      <c r="M440" s="1">
        <v>17</v>
      </c>
      <c r="N440" s="1">
        <v>187</v>
      </c>
      <c r="O440" s="1">
        <v>182</v>
      </c>
      <c r="P440" s="1" t="s">
        <v>17</v>
      </c>
      <c r="Q440" s="2">
        <v>42472</v>
      </c>
      <c r="R440" s="1">
        <v>1</v>
      </c>
      <c r="S440" s="1">
        <v>274</v>
      </c>
      <c r="T440" s="1">
        <v>469</v>
      </c>
      <c r="U440" t="str">
        <f>TEXT(Merge2[[#This Row],[ActivityDate]],"dddd")</f>
        <v>Tuesday</v>
      </c>
    </row>
    <row r="441" spans="1:21" x14ac:dyDescent="0.35">
      <c r="A441" s="1">
        <v>2022484408</v>
      </c>
      <c r="B441" s="2">
        <v>42472</v>
      </c>
      <c r="C441" s="1">
        <v>6717</v>
      </c>
      <c r="D441" s="1">
        <v>4.7199997900000001</v>
      </c>
      <c r="E441" s="1">
        <v>4.7199997900000001</v>
      </c>
      <c r="F441" s="1">
        <v>0</v>
      </c>
      <c r="G441" s="1">
        <v>3.2300000190000002</v>
      </c>
      <c r="H441" s="1">
        <v>0.219999999</v>
      </c>
      <c r="I441" s="1">
        <v>1.269999981</v>
      </c>
      <c r="J441" s="1">
        <v>0</v>
      </c>
      <c r="K441" s="1">
        <v>41</v>
      </c>
      <c r="L441" s="1">
        <v>5</v>
      </c>
      <c r="M441" s="1">
        <v>67</v>
      </c>
      <c r="N441" s="1">
        <v>551</v>
      </c>
      <c r="O441" s="1">
        <v>1140</v>
      </c>
      <c r="P441" s="1" t="s">
        <v>19</v>
      </c>
      <c r="Q441" s="2"/>
      <c r="R441" s="1"/>
      <c r="S441" s="1"/>
      <c r="T441" s="1"/>
      <c r="U441" t="str">
        <f>TEXT(Merge2[[#This Row],[ActivityDate]],"dddd")</f>
        <v>Tuesday</v>
      </c>
    </row>
    <row r="442" spans="1:21" x14ac:dyDescent="0.35">
      <c r="A442" s="1">
        <v>2320127002</v>
      </c>
      <c r="B442" s="2">
        <v>42472</v>
      </c>
      <c r="C442" s="1">
        <v>2098</v>
      </c>
      <c r="D442" s="1">
        <v>1.4099999670000001</v>
      </c>
      <c r="E442" s="1">
        <v>1.4099999670000001</v>
      </c>
      <c r="F442" s="1">
        <v>0</v>
      </c>
      <c r="G442" s="1">
        <v>0</v>
      </c>
      <c r="H442" s="1">
        <v>0</v>
      </c>
      <c r="I442" s="1">
        <v>1.4099999670000001</v>
      </c>
      <c r="J442" s="1">
        <v>0</v>
      </c>
      <c r="K442" s="1">
        <v>0</v>
      </c>
      <c r="L442" s="1">
        <v>0</v>
      </c>
      <c r="M442" s="1">
        <v>69</v>
      </c>
      <c r="N442" s="1">
        <v>617</v>
      </c>
      <c r="O442" s="1">
        <v>790</v>
      </c>
      <c r="P442" s="1" t="s">
        <v>17</v>
      </c>
      <c r="Q442" s="2"/>
      <c r="R442" s="1"/>
      <c r="S442" s="1"/>
      <c r="T442" s="1"/>
      <c r="U442" t="str">
        <f>TEXT(Merge2[[#This Row],[ActivityDate]],"dddd")</f>
        <v>Tuesday</v>
      </c>
    </row>
    <row r="443" spans="1:21" x14ac:dyDescent="0.35">
      <c r="A443" s="1">
        <v>4020332650</v>
      </c>
      <c r="B443" s="2">
        <v>42472</v>
      </c>
      <c r="C443" s="1">
        <v>8</v>
      </c>
      <c r="D443" s="1">
        <v>0.01</v>
      </c>
      <c r="E443" s="1">
        <v>0.01</v>
      </c>
      <c r="F443" s="1">
        <v>0</v>
      </c>
      <c r="G443" s="1">
        <v>0</v>
      </c>
      <c r="H443" s="1">
        <v>0</v>
      </c>
      <c r="I443" s="1">
        <v>0.01</v>
      </c>
      <c r="J443" s="1">
        <v>0</v>
      </c>
      <c r="K443" s="1">
        <v>0</v>
      </c>
      <c r="L443" s="1">
        <v>0</v>
      </c>
      <c r="M443" s="1">
        <v>1</v>
      </c>
      <c r="N443" s="1">
        <v>321</v>
      </c>
      <c r="O443" s="1">
        <v>446</v>
      </c>
      <c r="P443" s="1" t="s">
        <v>17</v>
      </c>
      <c r="Q443" s="2">
        <v>42472</v>
      </c>
      <c r="R443" s="1">
        <v>1</v>
      </c>
      <c r="S443" s="1">
        <v>501</v>
      </c>
      <c r="T443" s="1">
        <v>541</v>
      </c>
      <c r="U443" t="str">
        <f>TEXT(Merge2[[#This Row],[ActivityDate]],"dddd")</f>
        <v>Tuesday</v>
      </c>
    </row>
    <row r="444" spans="1:21" x14ac:dyDescent="0.35">
      <c r="A444" s="1">
        <v>2347167796</v>
      </c>
      <c r="B444" s="2">
        <v>42472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425</v>
      </c>
      <c r="O444" s="1">
        <v>399</v>
      </c>
      <c r="P444" s="1" t="s">
        <v>17</v>
      </c>
      <c r="Q444" s="2"/>
      <c r="R444" s="1"/>
      <c r="S444" s="1"/>
      <c r="T444" s="1"/>
      <c r="U444" t="str">
        <f>TEXT(Merge2[[#This Row],[ActivityDate]],"dddd")</f>
        <v>Tuesday</v>
      </c>
    </row>
    <row r="445" spans="1:21" x14ac:dyDescent="0.35">
      <c r="A445" s="1">
        <v>2873212765</v>
      </c>
      <c r="B445" s="2">
        <v>42472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1440</v>
      </c>
      <c r="O445" s="1">
        <v>0</v>
      </c>
      <c r="P445" s="1" t="s">
        <v>17</v>
      </c>
      <c r="Q445" s="2"/>
      <c r="R445" s="1"/>
      <c r="S445" s="1"/>
      <c r="T445" s="1"/>
      <c r="U445" t="str">
        <f>TEXT(Merge2[[#This Row],[ActivityDate]],"dddd")</f>
        <v>Tuesday</v>
      </c>
    </row>
    <row r="446" spans="1:21" x14ac:dyDescent="0.35">
      <c r="A446" s="1">
        <v>4445114986</v>
      </c>
      <c r="B446" s="2">
        <v>42472</v>
      </c>
      <c r="C446" s="1">
        <v>278</v>
      </c>
      <c r="D446" s="1">
        <v>0.189999998</v>
      </c>
      <c r="E446" s="1">
        <v>0.189999998</v>
      </c>
      <c r="F446" s="1">
        <v>0</v>
      </c>
      <c r="G446" s="1">
        <v>0</v>
      </c>
      <c r="H446" s="1">
        <v>0</v>
      </c>
      <c r="I446" s="1">
        <v>0.189999998</v>
      </c>
      <c r="J446" s="1">
        <v>0</v>
      </c>
      <c r="K446" s="1">
        <v>0</v>
      </c>
      <c r="L446" s="1">
        <v>0</v>
      </c>
      <c r="M446" s="1">
        <v>20</v>
      </c>
      <c r="N446" s="1">
        <v>253</v>
      </c>
      <c r="O446" s="1">
        <v>745</v>
      </c>
      <c r="P446" s="1" t="s">
        <v>17</v>
      </c>
      <c r="Q446" s="2">
        <v>42472</v>
      </c>
      <c r="R446" s="1">
        <v>2</v>
      </c>
      <c r="S446" s="1">
        <v>429</v>
      </c>
      <c r="T446" s="1">
        <v>457</v>
      </c>
      <c r="U446" t="str">
        <f>TEXT(Merge2[[#This Row],[ActivityDate]],"dddd")</f>
        <v>Tuesday</v>
      </c>
    </row>
    <row r="447" spans="1:21" x14ac:dyDescent="0.35">
      <c r="A447" s="1">
        <v>4702921684</v>
      </c>
      <c r="B447" s="2">
        <v>42472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1440</v>
      </c>
      <c r="O447" s="1">
        <v>0</v>
      </c>
      <c r="P447" s="1" t="s">
        <v>17</v>
      </c>
      <c r="Q447" s="2">
        <v>42472</v>
      </c>
      <c r="R447" s="1">
        <v>1</v>
      </c>
      <c r="S447" s="1">
        <v>425</v>
      </c>
      <c r="T447" s="1">
        <v>439</v>
      </c>
      <c r="U447" t="str">
        <f>TEXT(Merge2[[#This Row],[ActivityDate]],"dddd")</f>
        <v>Tuesday</v>
      </c>
    </row>
    <row r="448" spans="1:21" x14ac:dyDescent="0.35">
      <c r="A448" s="1">
        <v>5553957443</v>
      </c>
      <c r="B448" s="2">
        <v>42472</v>
      </c>
      <c r="C448" s="1">
        <v>3436</v>
      </c>
      <c r="D448" s="1">
        <v>2.2400000100000002</v>
      </c>
      <c r="E448" s="1">
        <v>2.2400000100000002</v>
      </c>
      <c r="F448" s="1">
        <v>0</v>
      </c>
      <c r="G448" s="1">
        <v>0.5</v>
      </c>
      <c r="H448" s="1">
        <v>0.670000017</v>
      </c>
      <c r="I448" s="1">
        <v>1.0499999520000001</v>
      </c>
      <c r="J448" s="1">
        <v>0</v>
      </c>
      <c r="K448" s="1">
        <v>7</v>
      </c>
      <c r="L448" s="1">
        <v>11</v>
      </c>
      <c r="M448" s="1">
        <v>50</v>
      </c>
      <c r="N448" s="1">
        <v>61</v>
      </c>
      <c r="O448" s="1">
        <v>633</v>
      </c>
      <c r="P448" s="1" t="s">
        <v>17</v>
      </c>
      <c r="Q448" s="2">
        <v>42472</v>
      </c>
      <c r="R448" s="1">
        <v>1</v>
      </c>
      <c r="S448" s="1">
        <v>441</v>
      </c>
      <c r="T448" s="1">
        <v>464</v>
      </c>
      <c r="U448" t="str">
        <f>TEXT(Merge2[[#This Row],[ActivityDate]],"dddd")</f>
        <v>Tuesday</v>
      </c>
    </row>
    <row r="449" spans="1:21" x14ac:dyDescent="0.35">
      <c r="A449" s="1">
        <v>4057192912</v>
      </c>
      <c r="B449" s="2">
        <v>42472</v>
      </c>
      <c r="C449" s="1">
        <v>187</v>
      </c>
      <c r="D449" s="1">
        <v>0.14000000100000001</v>
      </c>
      <c r="E449" s="1">
        <v>0.14000000100000001</v>
      </c>
      <c r="F449" s="1">
        <v>0</v>
      </c>
      <c r="G449" s="1">
        <v>0</v>
      </c>
      <c r="H449" s="1">
        <v>0</v>
      </c>
      <c r="I449" s="1">
        <v>0.14000000100000001</v>
      </c>
      <c r="J449" s="1">
        <v>0</v>
      </c>
      <c r="K449" s="1">
        <v>0</v>
      </c>
      <c r="L449" s="1">
        <v>0</v>
      </c>
      <c r="M449" s="1">
        <v>11</v>
      </c>
      <c r="N449" s="1">
        <v>400</v>
      </c>
      <c r="O449" s="1">
        <v>538</v>
      </c>
      <c r="P449" s="1" t="s">
        <v>17</v>
      </c>
      <c r="Q449" s="2"/>
      <c r="R449" s="1"/>
      <c r="S449" s="1"/>
      <c r="T449" s="1"/>
      <c r="U449" t="str">
        <f>TEXT(Merge2[[#This Row],[ActivityDate]],"dddd")</f>
        <v>Tuesday</v>
      </c>
    </row>
    <row r="450" spans="1:21" x14ac:dyDescent="0.35">
      <c r="A450" s="1">
        <v>4558609924</v>
      </c>
      <c r="B450" s="2">
        <v>42472</v>
      </c>
      <c r="C450" s="1">
        <v>1260</v>
      </c>
      <c r="D450" s="1">
        <v>0.829999983</v>
      </c>
      <c r="E450" s="1">
        <v>0.829999983</v>
      </c>
      <c r="F450" s="1">
        <v>0</v>
      </c>
      <c r="G450" s="1">
        <v>0</v>
      </c>
      <c r="H450" s="1">
        <v>0</v>
      </c>
      <c r="I450" s="1">
        <v>0.81999999300000004</v>
      </c>
      <c r="J450" s="1">
        <v>0</v>
      </c>
      <c r="K450" s="1">
        <v>0</v>
      </c>
      <c r="L450" s="1">
        <v>0</v>
      </c>
      <c r="M450" s="1">
        <v>76</v>
      </c>
      <c r="N450" s="1">
        <v>555</v>
      </c>
      <c r="O450" s="1">
        <v>722</v>
      </c>
      <c r="P450" s="1" t="s">
        <v>17</v>
      </c>
      <c r="Q450" s="2"/>
      <c r="R450" s="1"/>
      <c r="S450" s="1"/>
      <c r="T450" s="1"/>
      <c r="U450" t="str">
        <f>TEXT(Merge2[[#This Row],[ActivityDate]],"dddd")</f>
        <v>Tuesday</v>
      </c>
    </row>
    <row r="451" spans="1:21" x14ac:dyDescent="0.35">
      <c r="A451" s="1">
        <v>6962181067</v>
      </c>
      <c r="B451" s="2">
        <v>42472</v>
      </c>
      <c r="C451" s="1">
        <v>5893</v>
      </c>
      <c r="D451" s="1">
        <v>3.9000000950000002</v>
      </c>
      <c r="E451" s="1">
        <v>3.9000000950000002</v>
      </c>
      <c r="F451" s="1">
        <v>0</v>
      </c>
      <c r="G451" s="1">
        <v>2.880000114</v>
      </c>
      <c r="H451" s="1">
        <v>0.560000002</v>
      </c>
      <c r="I451" s="1">
        <v>0.46000000800000002</v>
      </c>
      <c r="J451" s="1">
        <v>0</v>
      </c>
      <c r="K451" s="1">
        <v>43</v>
      </c>
      <c r="L451" s="1">
        <v>9</v>
      </c>
      <c r="M451" s="1">
        <v>48</v>
      </c>
      <c r="N451" s="1">
        <v>146</v>
      </c>
      <c r="O451" s="1">
        <v>917</v>
      </c>
      <c r="P451" s="1" t="s">
        <v>19</v>
      </c>
      <c r="Q451" s="2">
        <v>42472</v>
      </c>
      <c r="R451" s="1">
        <v>1</v>
      </c>
      <c r="S451" s="1">
        <v>366</v>
      </c>
      <c r="T451" s="1">
        <v>387</v>
      </c>
      <c r="U451" t="str">
        <f>TEXT(Merge2[[#This Row],[ActivityDate]],"dddd")</f>
        <v>Tuesday</v>
      </c>
    </row>
    <row r="452" spans="1:21" x14ac:dyDescent="0.35">
      <c r="A452" s="1">
        <v>7086361926</v>
      </c>
      <c r="B452" s="2">
        <v>42472</v>
      </c>
      <c r="C452" s="1">
        <v>430</v>
      </c>
      <c r="D452" s="1">
        <v>0.25999999000000001</v>
      </c>
      <c r="E452" s="1">
        <v>0.25999999000000001</v>
      </c>
      <c r="F452" s="1">
        <v>0</v>
      </c>
      <c r="G452" s="1">
        <v>0</v>
      </c>
      <c r="H452" s="1">
        <v>0</v>
      </c>
      <c r="I452" s="1">
        <v>0.25999999000000001</v>
      </c>
      <c r="J452" s="1">
        <v>0</v>
      </c>
      <c r="K452" s="1">
        <v>0</v>
      </c>
      <c r="L452" s="1">
        <v>0</v>
      </c>
      <c r="M452" s="1">
        <v>14</v>
      </c>
      <c r="N452" s="1">
        <v>75</v>
      </c>
      <c r="O452" s="1">
        <v>625</v>
      </c>
      <c r="P452" s="1" t="s">
        <v>17</v>
      </c>
      <c r="Q452" s="2">
        <v>42472</v>
      </c>
      <c r="R452" s="1">
        <v>1</v>
      </c>
      <c r="S452" s="1">
        <v>514</v>
      </c>
      <c r="T452" s="1">
        <v>525</v>
      </c>
      <c r="U452" t="str">
        <f>TEXT(Merge2[[#This Row],[ActivityDate]],"dddd")</f>
        <v>Tuesday</v>
      </c>
    </row>
    <row r="453" spans="1:21" x14ac:dyDescent="0.35">
      <c r="A453" s="1">
        <v>7007744171</v>
      </c>
      <c r="B453" s="2">
        <v>42472</v>
      </c>
      <c r="C453" s="1">
        <v>7413</v>
      </c>
      <c r="D453" s="1">
        <v>5.7699999809999998</v>
      </c>
      <c r="E453" s="1">
        <v>4.9600000380000004</v>
      </c>
      <c r="F453" s="1">
        <v>4.869782925</v>
      </c>
      <c r="G453" s="1">
        <v>4.5</v>
      </c>
      <c r="H453" s="1">
        <v>0.34000000400000002</v>
      </c>
      <c r="I453" s="1">
        <v>0.939999998</v>
      </c>
      <c r="J453" s="1">
        <v>0</v>
      </c>
      <c r="K453" s="1">
        <v>53</v>
      </c>
      <c r="L453" s="1">
        <v>6</v>
      </c>
      <c r="M453" s="1">
        <v>43</v>
      </c>
      <c r="N453" s="1">
        <v>405</v>
      </c>
      <c r="O453" s="1">
        <v>1023</v>
      </c>
      <c r="P453" s="1" t="s">
        <v>19</v>
      </c>
      <c r="Q453" s="2"/>
      <c r="R453" s="1"/>
      <c r="S453" s="1"/>
      <c r="T453" s="1"/>
      <c r="U453" t="str">
        <f>TEXT(Merge2[[#This Row],[ActivityDate]],"dddd")</f>
        <v>Tuesday</v>
      </c>
    </row>
    <row r="454" spans="1:21" x14ac:dyDescent="0.35">
      <c r="A454" s="1">
        <v>8053475328</v>
      </c>
      <c r="B454" s="2">
        <v>42472</v>
      </c>
      <c r="C454" s="1">
        <v>290</v>
      </c>
      <c r="D454" s="1">
        <v>0.209999993</v>
      </c>
      <c r="E454" s="1">
        <v>0.209999993</v>
      </c>
      <c r="F454" s="1">
        <v>0</v>
      </c>
      <c r="G454" s="1">
        <v>0</v>
      </c>
      <c r="H454" s="1">
        <v>0</v>
      </c>
      <c r="I454" s="1">
        <v>0.209999993</v>
      </c>
      <c r="J454" s="1">
        <v>0</v>
      </c>
      <c r="K454" s="1">
        <v>0</v>
      </c>
      <c r="L454" s="1">
        <v>0</v>
      </c>
      <c r="M454" s="1">
        <v>16</v>
      </c>
      <c r="N454" s="1">
        <v>599</v>
      </c>
      <c r="O454" s="1">
        <v>791</v>
      </c>
      <c r="P454" s="1" t="s">
        <v>17</v>
      </c>
      <c r="Q454" s="2"/>
      <c r="R454" s="1"/>
      <c r="S454" s="1"/>
      <c r="T454" s="1"/>
      <c r="U454" t="str">
        <f>TEXT(Merge2[[#This Row],[ActivityDate]],"dddd")</f>
        <v>Tuesday</v>
      </c>
    </row>
    <row r="455" spans="1:21" x14ac:dyDescent="0.35">
      <c r="A455" s="1">
        <v>8253242879</v>
      </c>
      <c r="B455" s="2">
        <v>42472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1440</v>
      </c>
      <c r="O455" s="1">
        <v>0</v>
      </c>
      <c r="P455" s="1" t="s">
        <v>17</v>
      </c>
      <c r="Q455" s="2"/>
      <c r="R455" s="1"/>
      <c r="S455" s="1"/>
      <c r="T455" s="1"/>
      <c r="U455" t="str">
        <f>TEXT(Merge2[[#This Row],[ActivityDate]],"dddd")</f>
        <v>Tuesday</v>
      </c>
    </row>
    <row r="456" spans="1:21" x14ac:dyDescent="0.35">
      <c r="A456" s="1">
        <v>8378563200</v>
      </c>
      <c r="B456" s="2">
        <v>42472</v>
      </c>
      <c r="C456" s="1">
        <v>3246</v>
      </c>
      <c r="D456" s="1">
        <v>2.5699999330000001</v>
      </c>
      <c r="E456" s="1">
        <v>2.5699999330000001</v>
      </c>
      <c r="F456" s="1">
        <v>2.2530810830000001</v>
      </c>
      <c r="G456" s="1">
        <v>0.829999983</v>
      </c>
      <c r="H456" s="1">
        <v>0.709999979</v>
      </c>
      <c r="I456" s="1">
        <v>1.0299999710000001</v>
      </c>
      <c r="J456" s="1">
        <v>0</v>
      </c>
      <c r="K456" s="1">
        <v>65</v>
      </c>
      <c r="L456" s="1">
        <v>15</v>
      </c>
      <c r="M456" s="1">
        <v>49</v>
      </c>
      <c r="N456" s="1">
        <v>243</v>
      </c>
      <c r="O456" s="1">
        <v>1882</v>
      </c>
      <c r="P456" s="1" t="s">
        <v>17</v>
      </c>
      <c r="Q456" s="2">
        <v>42472</v>
      </c>
      <c r="R456" s="1">
        <v>1</v>
      </c>
      <c r="S456" s="1">
        <v>338</v>
      </c>
      <c r="T456" s="1">
        <v>356</v>
      </c>
      <c r="U456" t="str">
        <f>TEXT(Merge2[[#This Row],[ActivityDate]],"dddd")</f>
        <v>Tuesday</v>
      </c>
    </row>
    <row r="457" spans="1:21" x14ac:dyDescent="0.35">
      <c r="A457" s="1">
        <v>8792009665</v>
      </c>
      <c r="B457" s="2">
        <v>42472</v>
      </c>
      <c r="C457" s="1">
        <v>20</v>
      </c>
      <c r="D457" s="1">
        <v>0.01</v>
      </c>
      <c r="E457" s="1">
        <v>0.01</v>
      </c>
      <c r="F457" s="1">
        <v>0</v>
      </c>
      <c r="G457" s="1">
        <v>0</v>
      </c>
      <c r="H457" s="1">
        <v>0</v>
      </c>
      <c r="I457" s="1">
        <v>0.01</v>
      </c>
      <c r="J457" s="1">
        <v>0</v>
      </c>
      <c r="K457" s="1">
        <v>0</v>
      </c>
      <c r="L457" s="1">
        <v>0</v>
      </c>
      <c r="M457" s="1">
        <v>6</v>
      </c>
      <c r="N457" s="1">
        <v>598</v>
      </c>
      <c r="O457" s="1">
        <v>728</v>
      </c>
      <c r="P457" s="1" t="s">
        <v>17</v>
      </c>
      <c r="Q457" s="2">
        <v>42472</v>
      </c>
      <c r="R457" s="1">
        <v>1</v>
      </c>
      <c r="S457" s="1">
        <v>458</v>
      </c>
      <c r="T457" s="1">
        <v>493</v>
      </c>
      <c r="U457" t="str">
        <f>TEXT(Merge2[[#This Row],[ActivityDate]],"dddd")</f>
        <v>Tuesday</v>
      </c>
    </row>
    <row r="458" spans="1:21" x14ac:dyDescent="0.35">
      <c r="A458" s="1">
        <v>8877689391</v>
      </c>
      <c r="B458" s="2">
        <v>42472</v>
      </c>
      <c r="C458" s="1">
        <v>2350</v>
      </c>
      <c r="D458" s="1">
        <v>1.7799999710000001</v>
      </c>
      <c r="E458" s="1">
        <v>1.7799999710000001</v>
      </c>
      <c r="F458" s="1">
        <v>0</v>
      </c>
      <c r="G458" s="1">
        <v>0</v>
      </c>
      <c r="H458" s="1">
        <v>0</v>
      </c>
      <c r="I458" s="1">
        <v>1.7799999710000001</v>
      </c>
      <c r="J458" s="1">
        <v>0</v>
      </c>
      <c r="K458" s="1">
        <v>0</v>
      </c>
      <c r="L458" s="1">
        <v>0</v>
      </c>
      <c r="M458" s="1">
        <v>58</v>
      </c>
      <c r="N458" s="1">
        <v>531</v>
      </c>
      <c r="O458" s="1">
        <v>938</v>
      </c>
      <c r="P458" s="1" t="s">
        <v>17</v>
      </c>
      <c r="Q458" s="2"/>
      <c r="R458" s="1"/>
      <c r="S458" s="1"/>
      <c r="T458" s="1"/>
      <c r="U458" t="str">
        <f>TEXT(Merge2[[#This Row],[ActivityDate]],"dddd")</f>
        <v>Tuesday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2"/>
  <sheetViews>
    <sheetView tabSelected="1" topLeftCell="A129" zoomScale="38" zoomScaleNormal="85" workbookViewId="0">
      <selection activeCell="A162" sqref="A162:B172"/>
    </sheetView>
  </sheetViews>
  <sheetFormatPr defaultRowHeight="14.5" x14ac:dyDescent="0.35"/>
  <cols>
    <col min="1" max="1" width="13.90625" customWidth="1"/>
    <col min="2" max="2" width="19.54296875" customWidth="1"/>
    <col min="3" max="4" width="26.54296875" customWidth="1"/>
    <col min="5" max="5" width="24.36328125" customWidth="1"/>
    <col min="6" max="6" width="31.36328125" customWidth="1"/>
    <col min="7" max="16" width="11.36328125" customWidth="1"/>
    <col min="17" max="23" width="11.36328125" bestFit="1" customWidth="1"/>
    <col min="24" max="24" width="10.81640625" bestFit="1" customWidth="1"/>
    <col min="25" max="25" width="13.81640625" bestFit="1" customWidth="1"/>
    <col min="26" max="50" width="11.36328125" bestFit="1" customWidth="1"/>
    <col min="51" max="51" width="16.90625" bestFit="1" customWidth="1"/>
    <col min="52" max="52" width="18.26953125" bestFit="1" customWidth="1"/>
    <col min="53" max="71" width="11.36328125" bestFit="1" customWidth="1"/>
    <col min="72" max="72" width="21.26953125" bestFit="1" customWidth="1"/>
    <col min="73" max="104" width="11.36328125" bestFit="1" customWidth="1"/>
    <col min="105" max="105" width="14.08984375" bestFit="1" customWidth="1"/>
    <col min="106" max="106" width="10.7265625" bestFit="1" customWidth="1"/>
  </cols>
  <sheetData>
    <row r="1" spans="1:7" x14ac:dyDescent="0.35">
      <c r="A1" s="7" t="s">
        <v>35</v>
      </c>
    </row>
    <row r="3" spans="1:7" x14ac:dyDescent="0.35">
      <c r="A3" s="4" t="s">
        <v>31</v>
      </c>
      <c r="B3" t="s">
        <v>29</v>
      </c>
      <c r="C3" t="s">
        <v>30</v>
      </c>
      <c r="G3" s="7"/>
    </row>
    <row r="4" spans="1:7" x14ac:dyDescent="0.35">
      <c r="A4" s="5">
        <v>1503960366</v>
      </c>
      <c r="B4" s="1">
        <v>11640.526315789473</v>
      </c>
      <c r="C4" s="1">
        <v>809.84210526315792</v>
      </c>
    </row>
    <row r="5" spans="1:7" x14ac:dyDescent="0.35">
      <c r="A5" s="5">
        <v>1624580081</v>
      </c>
      <c r="B5" s="1">
        <v>4226.2631578947367</v>
      </c>
      <c r="C5" s="1">
        <v>1278.3157894736842</v>
      </c>
    </row>
    <row r="6" spans="1:7" x14ac:dyDescent="0.35">
      <c r="A6" s="5">
        <v>1644430081</v>
      </c>
      <c r="B6" s="1">
        <v>9274.7999999999993</v>
      </c>
      <c r="C6" s="1">
        <v>1034.2</v>
      </c>
    </row>
    <row r="7" spans="1:7" x14ac:dyDescent="0.35">
      <c r="A7" s="5">
        <v>1844505072</v>
      </c>
      <c r="B7" s="1">
        <v>3640.5833333333335</v>
      </c>
      <c r="C7" s="1">
        <v>1035.3333333333333</v>
      </c>
    </row>
    <row r="8" spans="1:7" x14ac:dyDescent="0.35">
      <c r="A8" s="5">
        <v>1927972279</v>
      </c>
      <c r="B8" s="1">
        <v>2180.8333333333335</v>
      </c>
      <c r="C8" s="1">
        <v>952.91666666666663</v>
      </c>
    </row>
    <row r="9" spans="1:7" x14ac:dyDescent="0.35">
      <c r="A9" s="5">
        <v>2022484408</v>
      </c>
      <c r="B9" s="1">
        <v>12174.916666666666</v>
      </c>
      <c r="C9" s="1">
        <v>1058.9166666666667</v>
      </c>
    </row>
    <row r="10" spans="1:7" x14ac:dyDescent="0.35">
      <c r="A10" s="5">
        <v>2026352035</v>
      </c>
      <c r="B10" s="1">
        <v>3392.75</v>
      </c>
      <c r="C10" s="1">
        <v>659.16666666666663</v>
      </c>
    </row>
    <row r="11" spans="1:7" x14ac:dyDescent="0.35">
      <c r="A11" s="5">
        <v>2320127002</v>
      </c>
      <c r="B11" s="1">
        <v>3138.4166666666665</v>
      </c>
      <c r="C11" s="1">
        <v>1249.25</v>
      </c>
    </row>
    <row r="12" spans="1:7" x14ac:dyDescent="0.35">
      <c r="A12" s="5">
        <v>2347167796</v>
      </c>
      <c r="B12" s="1">
        <v>9800.0666666666675</v>
      </c>
      <c r="C12" s="1">
        <v>683.86666666666667</v>
      </c>
    </row>
    <row r="13" spans="1:7" x14ac:dyDescent="0.35">
      <c r="A13" s="5">
        <v>2873212765</v>
      </c>
      <c r="B13" s="1">
        <v>6636.583333333333</v>
      </c>
      <c r="C13" s="1">
        <v>1136.9166666666667</v>
      </c>
    </row>
    <row r="14" spans="1:7" x14ac:dyDescent="0.35">
      <c r="A14" s="5">
        <v>2891001357</v>
      </c>
      <c r="B14" s="1">
        <v>773.625</v>
      </c>
      <c r="C14" s="1">
        <v>1099.875</v>
      </c>
    </row>
    <row r="15" spans="1:7" x14ac:dyDescent="0.35">
      <c r="A15" s="5">
        <v>3372868164</v>
      </c>
      <c r="B15" s="1">
        <v>6127.5</v>
      </c>
      <c r="C15" s="1">
        <v>1085.0999999999999</v>
      </c>
    </row>
    <row r="16" spans="1:7" x14ac:dyDescent="0.35">
      <c r="A16" s="5">
        <v>3977333714</v>
      </c>
      <c r="B16" s="1">
        <v>8663.9166666666661</v>
      </c>
      <c r="C16" s="1">
        <v>708.75</v>
      </c>
    </row>
    <row r="17" spans="1:3" x14ac:dyDescent="0.35">
      <c r="A17" s="5">
        <v>4020332650</v>
      </c>
      <c r="B17" s="1">
        <v>5776.59375</v>
      </c>
      <c r="C17" s="1">
        <v>1083.21875</v>
      </c>
    </row>
    <row r="18" spans="1:3" x14ac:dyDescent="0.35">
      <c r="A18" s="5">
        <v>4057192912</v>
      </c>
      <c r="B18" s="1">
        <v>1887.21875</v>
      </c>
      <c r="C18" s="1">
        <v>1358.0625</v>
      </c>
    </row>
    <row r="19" spans="1:3" x14ac:dyDescent="0.35">
      <c r="A19" s="5">
        <v>4319703577</v>
      </c>
      <c r="B19" s="1">
        <v>7820.583333333333</v>
      </c>
      <c r="C19" s="1">
        <v>780.08333333333337</v>
      </c>
    </row>
    <row r="20" spans="1:3" x14ac:dyDescent="0.35">
      <c r="A20" s="5">
        <v>4388161847</v>
      </c>
      <c r="B20" s="1">
        <v>0</v>
      </c>
      <c r="C20" s="1">
        <v>1384.25</v>
      </c>
    </row>
    <row r="21" spans="1:3" x14ac:dyDescent="0.35">
      <c r="A21" s="5">
        <v>4445114986</v>
      </c>
      <c r="B21" s="1">
        <v>4293.0666666666666</v>
      </c>
      <c r="C21" s="1">
        <v>861.4</v>
      </c>
    </row>
    <row r="22" spans="1:3" x14ac:dyDescent="0.35">
      <c r="A22" s="5">
        <v>4558609924</v>
      </c>
      <c r="B22" s="1">
        <v>5785.25</v>
      </c>
      <c r="C22" s="1">
        <v>1085.3333333333333</v>
      </c>
    </row>
    <row r="23" spans="1:3" x14ac:dyDescent="0.35">
      <c r="A23" s="5">
        <v>4702921684</v>
      </c>
      <c r="B23" s="1">
        <v>7943.4</v>
      </c>
      <c r="C23" s="1">
        <v>726.73333333333335</v>
      </c>
    </row>
    <row r="24" spans="1:3" x14ac:dyDescent="0.35">
      <c r="A24" s="5">
        <v>5553957443</v>
      </c>
      <c r="B24" s="1">
        <v>8354.75</v>
      </c>
      <c r="C24" s="1">
        <v>607.75</v>
      </c>
    </row>
    <row r="25" spans="1:3" x14ac:dyDescent="0.35">
      <c r="A25" s="5">
        <v>5577150313</v>
      </c>
      <c r="B25" s="1">
        <v>8608.181818181818</v>
      </c>
      <c r="C25" s="1">
        <v>665.81818181818187</v>
      </c>
    </row>
    <row r="26" spans="1:3" x14ac:dyDescent="0.35">
      <c r="A26" s="5">
        <v>6117666160</v>
      </c>
      <c r="B26" s="1">
        <v>8248.6</v>
      </c>
      <c r="C26" s="1">
        <v>864.1</v>
      </c>
    </row>
    <row r="27" spans="1:3" x14ac:dyDescent="0.35">
      <c r="A27" s="5">
        <v>6290855005</v>
      </c>
      <c r="B27" s="1">
        <v>1618.1</v>
      </c>
      <c r="C27" s="1">
        <v>1289.5999999999999</v>
      </c>
    </row>
    <row r="28" spans="1:3" x14ac:dyDescent="0.35">
      <c r="A28" s="5">
        <v>6391747486</v>
      </c>
      <c r="B28" s="1">
        <v>1336.8888888888889</v>
      </c>
      <c r="C28" s="1">
        <v>1261.8888888888889</v>
      </c>
    </row>
    <row r="29" spans="1:3" ht="12.5" customHeight="1" x14ac:dyDescent="0.35">
      <c r="A29" s="5">
        <v>6775888955</v>
      </c>
      <c r="B29" s="1">
        <v>5559</v>
      </c>
      <c r="C29" s="1">
        <v>1017.8888888888889</v>
      </c>
    </row>
    <row r="30" spans="1:3" ht="12.5" customHeight="1" x14ac:dyDescent="0.35">
      <c r="A30" s="5">
        <v>6962181067</v>
      </c>
      <c r="B30" s="1">
        <v>12639.714285714286</v>
      </c>
      <c r="C30" s="1">
        <v>606.28571428571433</v>
      </c>
    </row>
    <row r="31" spans="1:3" ht="12.5" customHeight="1" x14ac:dyDescent="0.35">
      <c r="A31" s="5">
        <v>7007744171</v>
      </c>
      <c r="B31" s="1">
        <v>12260.333333333334</v>
      </c>
      <c r="C31" s="1">
        <v>1000.6666666666666</v>
      </c>
    </row>
    <row r="32" spans="1:3" ht="12.5" customHeight="1" x14ac:dyDescent="0.35">
      <c r="A32" s="5">
        <v>7086361926</v>
      </c>
      <c r="B32" s="1">
        <v>6103.916666666667</v>
      </c>
      <c r="C32" s="1">
        <v>888.83333333333337</v>
      </c>
    </row>
    <row r="33" spans="1:3" ht="12.5" customHeight="1" x14ac:dyDescent="0.35">
      <c r="A33" s="5">
        <v>8053475328</v>
      </c>
      <c r="B33" s="1">
        <v>14844.363636363636</v>
      </c>
      <c r="C33" s="1">
        <v>1114.4545454545455</v>
      </c>
    </row>
    <row r="34" spans="1:3" ht="12.5" customHeight="1" x14ac:dyDescent="0.35">
      <c r="A34" s="5">
        <v>8253242879</v>
      </c>
      <c r="B34" s="1">
        <v>2389.9166666666665</v>
      </c>
      <c r="C34" s="1">
        <v>1352.3333333333333</v>
      </c>
    </row>
    <row r="35" spans="1:3" ht="12.5" customHeight="1" x14ac:dyDescent="0.35">
      <c r="A35" s="5">
        <v>8378563200</v>
      </c>
      <c r="B35" s="1">
        <v>8135.25</v>
      </c>
      <c r="C35" s="1">
        <v>684.16666666666663</v>
      </c>
    </row>
    <row r="36" spans="1:3" ht="12.5" customHeight="1" x14ac:dyDescent="0.35">
      <c r="A36" s="5">
        <v>8583815059</v>
      </c>
      <c r="B36" s="1">
        <v>3045.5</v>
      </c>
      <c r="C36" s="1">
        <v>1261.75</v>
      </c>
    </row>
    <row r="37" spans="1:3" ht="12.5" customHeight="1" x14ac:dyDescent="0.35">
      <c r="A37" s="5">
        <v>8792009665</v>
      </c>
      <c r="B37" s="1">
        <v>3094.9166666666665</v>
      </c>
      <c r="C37" s="1">
        <v>893.58333333333337</v>
      </c>
    </row>
    <row r="38" spans="1:3" ht="12.5" customHeight="1" x14ac:dyDescent="0.35">
      <c r="A38" s="5">
        <v>8877689391</v>
      </c>
      <c r="B38" s="1">
        <v>17417.083333333332</v>
      </c>
      <c r="C38" s="1">
        <v>1046.1666666666667</v>
      </c>
    </row>
    <row r="39" spans="1:3" ht="12.5" customHeight="1" x14ac:dyDescent="0.35">
      <c r="A39" s="5" t="s">
        <v>32</v>
      </c>
      <c r="B39" s="1">
        <v>6546.5623632385123</v>
      </c>
      <c r="C39" s="1">
        <v>995.28227571115974</v>
      </c>
    </row>
    <row r="40" spans="1:3" ht="12.5" customHeight="1" x14ac:dyDescent="0.35"/>
    <row r="42" spans="1:3" x14ac:dyDescent="0.35">
      <c r="A42" s="7" t="s">
        <v>36</v>
      </c>
    </row>
    <row r="44" spans="1:3" x14ac:dyDescent="0.35">
      <c r="A44" s="4" t="s">
        <v>31</v>
      </c>
      <c r="B44" t="s">
        <v>29</v>
      </c>
      <c r="C44" t="s">
        <v>30</v>
      </c>
    </row>
    <row r="45" spans="1:3" x14ac:dyDescent="0.35">
      <c r="A45" s="5" t="s">
        <v>33</v>
      </c>
      <c r="B45" s="1">
        <v>5001.2432432432433</v>
      </c>
      <c r="C45" s="1">
        <v>1162.2297297297298</v>
      </c>
    </row>
    <row r="46" spans="1:3" x14ac:dyDescent="0.35">
      <c r="A46" s="5" t="s">
        <v>34</v>
      </c>
      <c r="B46" s="1">
        <v>6845.1357702349869</v>
      </c>
      <c r="C46" s="1">
        <v>963.02610966057443</v>
      </c>
    </row>
    <row r="47" spans="1:3" x14ac:dyDescent="0.35">
      <c r="A47" s="5" t="s">
        <v>32</v>
      </c>
      <c r="B47" s="1">
        <v>6546.5623632385123</v>
      </c>
      <c r="C47" s="1">
        <v>995.28227571115974</v>
      </c>
    </row>
    <row r="50" spans="1:6" x14ac:dyDescent="0.35">
      <c r="A50" s="7" t="s">
        <v>40</v>
      </c>
    </row>
    <row r="52" spans="1:6" x14ac:dyDescent="0.35">
      <c r="A52" s="4" t="s">
        <v>31</v>
      </c>
      <c r="B52" t="s">
        <v>38</v>
      </c>
      <c r="C52" t="s">
        <v>39</v>
      </c>
      <c r="D52" t="s">
        <v>37</v>
      </c>
      <c r="E52" t="s">
        <v>30</v>
      </c>
    </row>
    <row r="53" spans="1:6" x14ac:dyDescent="0.35">
      <c r="A53" s="5" t="s">
        <v>33</v>
      </c>
      <c r="B53" s="1">
        <v>7.2297297297297298</v>
      </c>
      <c r="C53" s="1">
        <v>113.58108108108108</v>
      </c>
      <c r="D53" s="1">
        <v>6.9189189189189193</v>
      </c>
      <c r="E53" s="1">
        <v>1162.2297297297298</v>
      </c>
    </row>
    <row r="54" spans="1:6" x14ac:dyDescent="0.35">
      <c r="A54" s="5" t="s">
        <v>34</v>
      </c>
      <c r="B54" s="1">
        <v>18.43864229765013</v>
      </c>
      <c r="C54" s="1">
        <v>180.98433420365535</v>
      </c>
      <c r="D54" s="1">
        <v>14.258485639686684</v>
      </c>
      <c r="E54" s="1">
        <v>963.02610966057443</v>
      </c>
    </row>
    <row r="55" spans="1:6" x14ac:dyDescent="0.35">
      <c r="A55" s="5" t="s">
        <v>32</v>
      </c>
      <c r="B55" s="1">
        <v>16.623632385120349</v>
      </c>
      <c r="C55" s="1">
        <v>170.07002188183807</v>
      </c>
      <c r="D55" s="1">
        <v>13.070021881838075</v>
      </c>
      <c r="E55" s="1">
        <v>995.28227571115974</v>
      </c>
    </row>
    <row r="60" spans="1:6" x14ac:dyDescent="0.35">
      <c r="A60" s="7" t="s">
        <v>41</v>
      </c>
    </row>
    <row r="62" spans="1:6" x14ac:dyDescent="0.35">
      <c r="A62" s="4" t="s">
        <v>31</v>
      </c>
      <c r="B62" t="s">
        <v>42</v>
      </c>
      <c r="C62" t="s">
        <v>43</v>
      </c>
      <c r="D62" s="3" t="s">
        <v>44</v>
      </c>
    </row>
    <row r="63" spans="1:6" x14ac:dyDescent="0.35">
      <c r="A63" s="5">
        <v>1503960366</v>
      </c>
      <c r="B63" s="1">
        <v>360.28</v>
      </c>
      <c r="C63" s="1">
        <v>383.2</v>
      </c>
      <c r="D63">
        <v>0.94018789144050097</v>
      </c>
      <c r="E63" s="1"/>
      <c r="F63" s="1"/>
    </row>
    <row r="64" spans="1:6" x14ac:dyDescent="0.35">
      <c r="A64" s="5">
        <v>1644430081</v>
      </c>
      <c r="B64" s="1">
        <v>294</v>
      </c>
      <c r="C64" s="1">
        <v>346</v>
      </c>
      <c r="D64">
        <v>0.8497109826589595</v>
      </c>
      <c r="E64" s="1"/>
      <c r="F64" s="1"/>
    </row>
    <row r="65" spans="1:6" x14ac:dyDescent="0.35">
      <c r="A65" s="5">
        <v>1844505072</v>
      </c>
      <c r="B65" s="1">
        <v>652</v>
      </c>
      <c r="C65" s="1">
        <v>961</v>
      </c>
      <c r="D65">
        <v>0.67845993756503642</v>
      </c>
      <c r="E65" s="1"/>
      <c r="F65" s="1"/>
    </row>
    <row r="66" spans="1:6" x14ac:dyDescent="0.35">
      <c r="A66" s="5">
        <v>1927972279</v>
      </c>
      <c r="B66" s="1">
        <v>417</v>
      </c>
      <c r="C66" s="1">
        <v>437.8</v>
      </c>
      <c r="D66">
        <v>0.95248972133394239</v>
      </c>
      <c r="E66" s="1"/>
      <c r="F66" s="1"/>
    </row>
    <row r="67" spans="1:6" x14ac:dyDescent="0.35">
      <c r="A67" s="5">
        <v>2026352035</v>
      </c>
      <c r="B67" s="1">
        <v>506.17857142857144</v>
      </c>
      <c r="C67" s="1">
        <v>537.64285714285711</v>
      </c>
      <c r="D67">
        <v>0.94147734821309959</v>
      </c>
      <c r="E67" s="1"/>
      <c r="F67" s="1"/>
    </row>
    <row r="68" spans="1:6" x14ac:dyDescent="0.35">
      <c r="A68" s="5">
        <v>2320127002</v>
      </c>
      <c r="B68" s="1">
        <v>61</v>
      </c>
      <c r="C68" s="1">
        <v>69</v>
      </c>
      <c r="D68">
        <v>0.88405797101449279</v>
      </c>
      <c r="E68" s="1"/>
      <c r="F68" s="1"/>
    </row>
    <row r="69" spans="1:6" x14ac:dyDescent="0.35">
      <c r="A69" s="5">
        <v>2347167796</v>
      </c>
      <c r="B69" s="1">
        <v>446.8</v>
      </c>
      <c r="C69" s="1">
        <v>491.33333333333331</v>
      </c>
      <c r="D69">
        <v>0.90936227951153326</v>
      </c>
      <c r="E69" s="1"/>
      <c r="F69" s="1"/>
    </row>
    <row r="70" spans="1:6" x14ac:dyDescent="0.35">
      <c r="A70" s="5">
        <v>3977333714</v>
      </c>
      <c r="B70" s="1">
        <v>293.64285714285717</v>
      </c>
      <c r="C70" s="1">
        <v>461.14285714285717</v>
      </c>
      <c r="D70">
        <v>0.63677199504337056</v>
      </c>
      <c r="E70" s="1"/>
      <c r="F70" s="1"/>
    </row>
    <row r="71" spans="1:6" x14ac:dyDescent="0.35">
      <c r="A71" s="5">
        <v>4020332650</v>
      </c>
      <c r="B71" s="1">
        <v>349.375</v>
      </c>
      <c r="C71" s="1">
        <v>379.75</v>
      </c>
      <c r="D71">
        <v>0.92001316655694532</v>
      </c>
      <c r="E71" s="1"/>
      <c r="F71" s="1"/>
    </row>
    <row r="72" spans="1:6" x14ac:dyDescent="0.35">
      <c r="A72" s="5">
        <v>4319703577</v>
      </c>
      <c r="B72" s="1">
        <v>476.65384615384613</v>
      </c>
      <c r="C72" s="1">
        <v>501.96153846153845</v>
      </c>
      <c r="D72">
        <v>0.9495824074783541</v>
      </c>
      <c r="E72" s="1"/>
      <c r="F72" s="1"/>
    </row>
    <row r="73" spans="1:6" x14ac:dyDescent="0.35">
      <c r="A73" s="5">
        <v>4388161847</v>
      </c>
      <c r="B73" s="1">
        <v>400.17391304347825</v>
      </c>
      <c r="C73" s="1">
        <v>423.21739130434781</v>
      </c>
      <c r="D73">
        <v>0.9455516745428395</v>
      </c>
      <c r="E73" s="1"/>
      <c r="F73" s="1"/>
    </row>
    <row r="74" spans="1:6" x14ac:dyDescent="0.35">
      <c r="A74" s="5">
        <v>4445114986</v>
      </c>
      <c r="B74" s="1">
        <v>385.17857142857144</v>
      </c>
      <c r="C74" s="1">
        <v>416.82142857142856</v>
      </c>
      <c r="D74">
        <v>0.92408533973095719</v>
      </c>
      <c r="E74" s="1"/>
      <c r="F74" s="1"/>
    </row>
    <row r="75" spans="1:6" x14ac:dyDescent="0.35">
      <c r="A75" s="5">
        <v>4558609924</v>
      </c>
      <c r="B75" s="1">
        <v>127.6</v>
      </c>
      <c r="C75" s="1">
        <v>140</v>
      </c>
      <c r="D75">
        <v>0.91142857142857137</v>
      </c>
      <c r="E75" s="1"/>
      <c r="F75" s="1"/>
    </row>
    <row r="76" spans="1:6" x14ac:dyDescent="0.35">
      <c r="A76" s="5">
        <v>4702921684</v>
      </c>
      <c r="B76" s="1">
        <v>417.48148148148147</v>
      </c>
      <c r="C76" s="1">
        <v>438.22222222222223</v>
      </c>
      <c r="D76">
        <v>0.95267072346179849</v>
      </c>
      <c r="E76" s="1"/>
      <c r="F76" s="1"/>
    </row>
    <row r="77" spans="1:6" x14ac:dyDescent="0.35">
      <c r="A77" s="5">
        <v>5553957443</v>
      </c>
      <c r="B77" s="1">
        <v>463.48387096774195</v>
      </c>
      <c r="C77" s="1">
        <v>505.87096774193549</v>
      </c>
      <c r="D77">
        <v>0.91620966713429408</v>
      </c>
      <c r="E77" s="1"/>
      <c r="F77" s="1"/>
    </row>
    <row r="78" spans="1:6" x14ac:dyDescent="0.35">
      <c r="A78" s="5">
        <v>5577150313</v>
      </c>
      <c r="B78" s="1">
        <v>432</v>
      </c>
      <c r="C78" s="1">
        <v>460.61538461538464</v>
      </c>
      <c r="D78">
        <v>0.93787575150300595</v>
      </c>
      <c r="E78" s="1"/>
      <c r="F78" s="1"/>
    </row>
    <row r="79" spans="1:6" x14ac:dyDescent="0.35">
      <c r="A79" s="5">
        <v>6117666160</v>
      </c>
      <c r="B79" s="1">
        <v>478.77777777777777</v>
      </c>
      <c r="C79" s="1">
        <v>510.16666666666669</v>
      </c>
      <c r="D79">
        <v>0.93847326581727097</v>
      </c>
      <c r="E79" s="1"/>
      <c r="F79" s="1"/>
    </row>
    <row r="80" spans="1:6" x14ac:dyDescent="0.35">
      <c r="A80" s="5">
        <v>6775888955</v>
      </c>
      <c r="B80" s="1">
        <v>349.66666666666669</v>
      </c>
      <c r="C80" s="1">
        <v>369</v>
      </c>
      <c r="D80">
        <v>0.94760614272809396</v>
      </c>
      <c r="E80" s="1"/>
      <c r="F80" s="1"/>
    </row>
    <row r="81" spans="1:6" x14ac:dyDescent="0.35">
      <c r="A81" s="5">
        <v>6962181067</v>
      </c>
      <c r="B81" s="1">
        <v>448</v>
      </c>
      <c r="C81" s="1">
        <v>466.12903225806451</v>
      </c>
      <c r="D81">
        <v>0.96110726643598621</v>
      </c>
      <c r="E81" s="1"/>
      <c r="F81" s="1"/>
    </row>
    <row r="82" spans="1:6" x14ac:dyDescent="0.35">
      <c r="A82" s="5">
        <v>7007744171</v>
      </c>
      <c r="B82" s="1">
        <v>68.5</v>
      </c>
      <c r="C82" s="1">
        <v>71.5</v>
      </c>
      <c r="D82">
        <v>0.95804195804195802</v>
      </c>
      <c r="E82" s="1"/>
      <c r="F82" s="1"/>
    </row>
    <row r="83" spans="1:6" x14ac:dyDescent="0.35">
      <c r="A83" s="5">
        <v>7086361926</v>
      </c>
      <c r="B83" s="1">
        <v>453.125</v>
      </c>
      <c r="C83" s="1">
        <v>466.41666666666669</v>
      </c>
      <c r="D83">
        <v>0.97150259067357514</v>
      </c>
      <c r="E83" s="1"/>
      <c r="F83" s="1"/>
    </row>
    <row r="84" spans="1:6" x14ac:dyDescent="0.35">
      <c r="A84" s="5">
        <v>8053475328</v>
      </c>
      <c r="B84" s="1">
        <v>297</v>
      </c>
      <c r="C84" s="1">
        <v>301.66666666666669</v>
      </c>
      <c r="D84">
        <v>0.98453038674033144</v>
      </c>
      <c r="E84" s="1"/>
      <c r="F84" s="1"/>
    </row>
    <row r="85" spans="1:6" x14ac:dyDescent="0.35">
      <c r="A85" s="5">
        <v>8378563200</v>
      </c>
      <c r="B85" s="1">
        <v>445.12903225806451</v>
      </c>
      <c r="C85" s="1">
        <v>485.93548387096774</v>
      </c>
      <c r="D85">
        <v>0.91602496016994162</v>
      </c>
      <c r="E85" s="1"/>
      <c r="F85" s="1"/>
    </row>
    <row r="86" spans="1:6" x14ac:dyDescent="0.35">
      <c r="A86" s="5">
        <v>8792009665</v>
      </c>
      <c r="B86" s="1">
        <v>435.66666666666669</v>
      </c>
      <c r="C86" s="1">
        <v>453.8</v>
      </c>
      <c r="D86">
        <v>0.96004113412663439</v>
      </c>
      <c r="E86" s="1"/>
      <c r="F86" s="1"/>
    </row>
    <row r="87" spans="1:6" x14ac:dyDescent="0.35">
      <c r="A87" s="5" t="s">
        <v>32</v>
      </c>
      <c r="B87" s="1">
        <v>419.17317073170733</v>
      </c>
      <c r="C87" s="1">
        <v>458.48292682926831</v>
      </c>
      <c r="D87">
        <f>AVERAGE(D63:D86)</f>
        <v>0.91196929722297881</v>
      </c>
    </row>
    <row r="91" spans="1:6" x14ac:dyDescent="0.35">
      <c r="A91" s="7" t="s">
        <v>45</v>
      </c>
    </row>
    <row r="93" spans="1:6" x14ac:dyDescent="0.35">
      <c r="A93" s="4" t="s">
        <v>31</v>
      </c>
      <c r="B93" t="s">
        <v>42</v>
      </c>
      <c r="C93" s="3" t="s">
        <v>29</v>
      </c>
      <c r="E93" t="s">
        <v>42</v>
      </c>
      <c r="F93" s="8" t="s">
        <v>29</v>
      </c>
    </row>
    <row r="94" spans="1:6" x14ac:dyDescent="0.35">
      <c r="A94" s="5">
        <v>1503960366</v>
      </c>
      <c r="B94" s="1">
        <v>360.28</v>
      </c>
      <c r="C94" s="1">
        <v>11640.526315789473</v>
      </c>
      <c r="E94">
        <v>360.28</v>
      </c>
      <c r="F94">
        <v>11640.526315789473</v>
      </c>
    </row>
    <row r="95" spans="1:6" x14ac:dyDescent="0.35">
      <c r="A95" s="5">
        <v>1644430081</v>
      </c>
      <c r="B95" s="1">
        <v>294</v>
      </c>
      <c r="C95" s="1">
        <v>9274.7999999999993</v>
      </c>
      <c r="E95">
        <v>294</v>
      </c>
      <c r="F95">
        <v>9274.7999999999993</v>
      </c>
    </row>
    <row r="96" spans="1:6" x14ac:dyDescent="0.35">
      <c r="A96" s="5">
        <v>1844505072</v>
      </c>
      <c r="B96" s="1">
        <v>652</v>
      </c>
      <c r="C96" s="1">
        <v>3640.5833333333335</v>
      </c>
      <c r="E96">
        <v>652</v>
      </c>
      <c r="F96">
        <v>3640.5833333333335</v>
      </c>
    </row>
    <row r="97" spans="1:6" x14ac:dyDescent="0.35">
      <c r="A97" s="5">
        <v>1927972279</v>
      </c>
      <c r="B97" s="1">
        <v>417</v>
      </c>
      <c r="C97" s="1">
        <v>2180.8333333333335</v>
      </c>
      <c r="E97">
        <v>417</v>
      </c>
      <c r="F97">
        <v>2180.8333333333335</v>
      </c>
    </row>
    <row r="98" spans="1:6" x14ac:dyDescent="0.35">
      <c r="A98" s="5">
        <v>2026352035</v>
      </c>
      <c r="B98" s="1">
        <v>506.17857142857144</v>
      </c>
      <c r="C98" s="1">
        <v>3392.75</v>
      </c>
      <c r="E98">
        <v>506.17857142857144</v>
      </c>
      <c r="F98">
        <v>3392.75</v>
      </c>
    </row>
    <row r="99" spans="1:6" x14ac:dyDescent="0.35">
      <c r="A99" s="5">
        <v>2320127002</v>
      </c>
      <c r="B99" s="1">
        <v>61</v>
      </c>
      <c r="C99" s="1">
        <v>3138.4166666666665</v>
      </c>
      <c r="E99">
        <v>61</v>
      </c>
      <c r="F99">
        <v>3138.4166666666665</v>
      </c>
    </row>
    <row r="100" spans="1:6" x14ac:dyDescent="0.35">
      <c r="A100" s="5">
        <v>2347167796</v>
      </c>
      <c r="B100" s="1">
        <v>446.8</v>
      </c>
      <c r="C100" s="1">
        <v>9800.0666666666675</v>
      </c>
      <c r="E100">
        <v>446.8</v>
      </c>
      <c r="F100">
        <v>9800.0666666666675</v>
      </c>
    </row>
    <row r="101" spans="1:6" x14ac:dyDescent="0.35">
      <c r="A101" s="5">
        <v>3977333714</v>
      </c>
      <c r="B101" s="1">
        <v>293.64285714285717</v>
      </c>
      <c r="C101" s="1">
        <v>8663.9166666666661</v>
      </c>
      <c r="E101">
        <v>293.64285714285717</v>
      </c>
      <c r="F101">
        <v>8663.9166666666661</v>
      </c>
    </row>
    <row r="102" spans="1:6" x14ac:dyDescent="0.35">
      <c r="A102" s="5">
        <v>4020332650</v>
      </c>
      <c r="B102" s="1">
        <v>349.375</v>
      </c>
      <c r="C102" s="1">
        <v>5776.59375</v>
      </c>
      <c r="E102">
        <v>349.375</v>
      </c>
      <c r="F102">
        <v>5776.59375</v>
      </c>
    </row>
    <row r="103" spans="1:6" x14ac:dyDescent="0.35">
      <c r="A103" s="5">
        <v>4319703577</v>
      </c>
      <c r="B103" s="1">
        <v>476.65384615384613</v>
      </c>
      <c r="C103" s="1">
        <v>7820.583333333333</v>
      </c>
      <c r="E103">
        <v>476.65384615384613</v>
      </c>
      <c r="F103">
        <v>7820.583333333333</v>
      </c>
    </row>
    <row r="104" spans="1:6" x14ac:dyDescent="0.35">
      <c r="A104" s="5">
        <v>4388161847</v>
      </c>
      <c r="B104" s="1">
        <v>400.17391304347825</v>
      </c>
      <c r="C104" s="1">
        <v>0</v>
      </c>
      <c r="E104">
        <v>400.17391304347825</v>
      </c>
      <c r="F104">
        <v>0</v>
      </c>
    </row>
    <row r="105" spans="1:6" x14ac:dyDescent="0.35">
      <c r="A105" s="5">
        <v>4445114986</v>
      </c>
      <c r="B105" s="1">
        <v>385.17857142857144</v>
      </c>
      <c r="C105" s="1">
        <v>4293.0666666666666</v>
      </c>
      <c r="E105">
        <v>385.17857142857144</v>
      </c>
      <c r="F105">
        <v>4293.0666666666666</v>
      </c>
    </row>
    <row r="106" spans="1:6" x14ac:dyDescent="0.35">
      <c r="A106" s="5">
        <v>4558609924</v>
      </c>
      <c r="B106" s="1">
        <v>127.6</v>
      </c>
      <c r="C106" s="1">
        <v>5785.25</v>
      </c>
      <c r="E106">
        <v>127.6</v>
      </c>
      <c r="F106">
        <v>5785.25</v>
      </c>
    </row>
    <row r="107" spans="1:6" x14ac:dyDescent="0.35">
      <c r="A107" s="5">
        <v>4702921684</v>
      </c>
      <c r="B107" s="1">
        <v>417.48148148148147</v>
      </c>
      <c r="C107" s="1">
        <v>7943.4</v>
      </c>
      <c r="E107">
        <v>417.48148148148147</v>
      </c>
      <c r="F107">
        <v>7943.4</v>
      </c>
    </row>
    <row r="108" spans="1:6" x14ac:dyDescent="0.35">
      <c r="A108" s="5">
        <v>5553957443</v>
      </c>
      <c r="B108" s="1">
        <v>463.48387096774195</v>
      </c>
      <c r="C108" s="1">
        <v>8354.75</v>
      </c>
      <c r="E108">
        <v>463.48387096774195</v>
      </c>
      <c r="F108">
        <v>8354.75</v>
      </c>
    </row>
    <row r="109" spans="1:6" x14ac:dyDescent="0.35">
      <c r="A109" s="5">
        <v>5577150313</v>
      </c>
      <c r="B109" s="1">
        <v>432</v>
      </c>
      <c r="C109" s="1">
        <v>8608.181818181818</v>
      </c>
      <c r="E109">
        <v>432</v>
      </c>
      <c r="F109">
        <v>8608.181818181818</v>
      </c>
    </row>
    <row r="110" spans="1:6" x14ac:dyDescent="0.35">
      <c r="A110" s="5">
        <v>6117666160</v>
      </c>
      <c r="B110" s="1">
        <v>478.77777777777777</v>
      </c>
      <c r="C110" s="1">
        <v>8248.6</v>
      </c>
      <c r="E110">
        <v>478.77777777777777</v>
      </c>
      <c r="F110">
        <v>8248.6</v>
      </c>
    </row>
    <row r="111" spans="1:6" x14ac:dyDescent="0.35">
      <c r="A111" s="5">
        <v>6775888955</v>
      </c>
      <c r="B111" s="1">
        <v>349.66666666666669</v>
      </c>
      <c r="C111" s="1">
        <v>5559</v>
      </c>
      <c r="E111">
        <v>349.66666666666669</v>
      </c>
      <c r="F111">
        <v>5559</v>
      </c>
    </row>
    <row r="112" spans="1:6" x14ac:dyDescent="0.35">
      <c r="A112" s="5">
        <v>6962181067</v>
      </c>
      <c r="B112" s="1">
        <v>448</v>
      </c>
      <c r="C112" s="1">
        <v>12639.714285714286</v>
      </c>
      <c r="E112">
        <v>448</v>
      </c>
      <c r="F112">
        <v>12639.714285714286</v>
      </c>
    </row>
    <row r="113" spans="1:6" x14ac:dyDescent="0.35">
      <c r="A113" s="5">
        <v>7007744171</v>
      </c>
      <c r="B113" s="1">
        <v>68.5</v>
      </c>
      <c r="C113" s="1">
        <v>12260.333333333334</v>
      </c>
      <c r="E113">
        <v>68.5</v>
      </c>
      <c r="F113">
        <v>12260.333333333334</v>
      </c>
    </row>
    <row r="114" spans="1:6" x14ac:dyDescent="0.35">
      <c r="A114" s="5">
        <v>7086361926</v>
      </c>
      <c r="B114" s="1">
        <v>453.125</v>
      </c>
      <c r="C114" s="1">
        <v>6103.916666666667</v>
      </c>
      <c r="E114">
        <v>453.125</v>
      </c>
      <c r="F114">
        <v>6103.916666666667</v>
      </c>
    </row>
    <row r="115" spans="1:6" x14ac:dyDescent="0.35">
      <c r="A115" s="5">
        <v>8053475328</v>
      </c>
      <c r="B115" s="1">
        <v>297</v>
      </c>
      <c r="C115" s="1">
        <v>14844.363636363636</v>
      </c>
      <c r="E115">
        <v>297</v>
      </c>
      <c r="F115">
        <v>14844.363636363636</v>
      </c>
    </row>
    <row r="116" spans="1:6" x14ac:dyDescent="0.35">
      <c r="A116" s="5">
        <v>8378563200</v>
      </c>
      <c r="B116" s="1">
        <v>445.12903225806451</v>
      </c>
      <c r="C116" s="1">
        <v>8135.25</v>
      </c>
      <c r="E116">
        <v>445.12903225806451</v>
      </c>
      <c r="F116">
        <v>8135.25</v>
      </c>
    </row>
    <row r="117" spans="1:6" x14ac:dyDescent="0.35">
      <c r="A117" s="5">
        <v>8792009665</v>
      </c>
      <c r="B117" s="1">
        <v>435.66666666666669</v>
      </c>
      <c r="C117" s="1">
        <v>3094.9166666666665</v>
      </c>
      <c r="E117">
        <v>435.66666666666669</v>
      </c>
      <c r="F117">
        <v>3094.9166666666665</v>
      </c>
    </row>
    <row r="118" spans="1:6" x14ac:dyDescent="0.35">
      <c r="A118" s="5" t="s">
        <v>32</v>
      </c>
      <c r="B118" s="1">
        <v>419.17317073170733</v>
      </c>
      <c r="C118" s="6">
        <v>7244.8115015974445</v>
      </c>
    </row>
    <row r="121" spans="1:6" x14ac:dyDescent="0.35">
      <c r="A121" s="7" t="s">
        <v>47</v>
      </c>
    </row>
    <row r="123" spans="1:6" x14ac:dyDescent="0.35">
      <c r="A123" s="4" t="s">
        <v>31</v>
      </c>
      <c r="B123" t="s">
        <v>46</v>
      </c>
      <c r="C123" t="s">
        <v>29</v>
      </c>
      <c r="D123" t="s">
        <v>29</v>
      </c>
      <c r="E123" t="s">
        <v>46</v>
      </c>
      <c r="F123" t="s">
        <v>29</v>
      </c>
    </row>
    <row r="124" spans="1:6" x14ac:dyDescent="0.35">
      <c r="A124" s="5">
        <v>1503960366</v>
      </c>
      <c r="B124" s="1">
        <v>1796.2105263157894</v>
      </c>
      <c r="C124" s="1">
        <v>11640.526315789473</v>
      </c>
      <c r="D124">
        <v>11640.526315789473</v>
      </c>
      <c r="E124">
        <v>1796.2105263157894</v>
      </c>
      <c r="F124">
        <v>11640.526315789473</v>
      </c>
    </row>
    <row r="125" spans="1:6" x14ac:dyDescent="0.35">
      <c r="A125" s="5">
        <v>1624580081</v>
      </c>
      <c r="B125" s="1">
        <v>1352.8947368421052</v>
      </c>
      <c r="C125" s="1">
        <v>4226.2631578947367</v>
      </c>
      <c r="D125">
        <v>4226.2631578947367</v>
      </c>
      <c r="E125">
        <v>1352.8947368421052</v>
      </c>
      <c r="F125">
        <v>4226.2631578947367</v>
      </c>
    </row>
    <row r="126" spans="1:6" x14ac:dyDescent="0.35">
      <c r="A126" s="5">
        <v>1644430081</v>
      </c>
      <c r="B126" s="1">
        <v>2916.4</v>
      </c>
      <c r="C126" s="1">
        <v>9274.7999999999993</v>
      </c>
      <c r="D126">
        <v>9274.7999999999993</v>
      </c>
      <c r="E126">
        <v>2916.4</v>
      </c>
      <c r="F126">
        <v>9274.7999999999993</v>
      </c>
    </row>
    <row r="127" spans="1:6" x14ac:dyDescent="0.35">
      <c r="A127" s="5">
        <v>1844505072</v>
      </c>
      <c r="B127" s="1">
        <v>1615.9166666666667</v>
      </c>
      <c r="C127" s="1">
        <v>3640.5833333333335</v>
      </c>
      <c r="D127">
        <v>3640.5833333333335</v>
      </c>
      <c r="E127">
        <v>1615.9166666666667</v>
      </c>
      <c r="F127">
        <v>3640.5833333333335</v>
      </c>
    </row>
    <row r="128" spans="1:6" x14ac:dyDescent="0.35">
      <c r="A128" s="5">
        <v>1927972279</v>
      </c>
      <c r="B128" s="1">
        <v>2254</v>
      </c>
      <c r="C128" s="1">
        <v>2180.8333333333335</v>
      </c>
      <c r="D128">
        <v>2180.8333333333335</v>
      </c>
      <c r="E128">
        <v>2254</v>
      </c>
      <c r="F128">
        <v>2180.8333333333335</v>
      </c>
    </row>
    <row r="129" spans="1:6" x14ac:dyDescent="0.35">
      <c r="A129" s="5">
        <v>2022484408</v>
      </c>
      <c r="B129" s="1">
        <v>2475.3333333333335</v>
      </c>
      <c r="C129" s="1">
        <v>12174.916666666666</v>
      </c>
      <c r="D129">
        <v>12174.916666666666</v>
      </c>
      <c r="E129">
        <v>2475.3333333333335</v>
      </c>
      <c r="F129">
        <v>12174.916666666666</v>
      </c>
    </row>
    <row r="130" spans="1:6" x14ac:dyDescent="0.35">
      <c r="A130" s="5">
        <v>2026352035</v>
      </c>
      <c r="B130" s="1">
        <v>1355.5</v>
      </c>
      <c r="C130" s="1">
        <v>3392.75</v>
      </c>
      <c r="D130">
        <v>3392.75</v>
      </c>
      <c r="E130">
        <v>1355.5</v>
      </c>
      <c r="F130">
        <v>3392.75</v>
      </c>
    </row>
    <row r="131" spans="1:6" x14ac:dyDescent="0.35">
      <c r="A131" s="5">
        <v>2320127002</v>
      </c>
      <c r="B131" s="1">
        <v>1532.0833333333333</v>
      </c>
      <c r="C131" s="1">
        <v>3138.4166666666665</v>
      </c>
      <c r="D131">
        <v>3138.4166666666665</v>
      </c>
      <c r="E131">
        <v>1532.0833333333333</v>
      </c>
      <c r="F131">
        <v>3138.4166666666665</v>
      </c>
    </row>
    <row r="132" spans="1:6" x14ac:dyDescent="0.35">
      <c r="A132" s="5">
        <v>2347167796</v>
      </c>
      <c r="B132" s="1">
        <v>2021.3333333333333</v>
      </c>
      <c r="C132" s="1">
        <v>9800.0666666666675</v>
      </c>
      <c r="D132">
        <v>9800.0666666666675</v>
      </c>
      <c r="E132">
        <v>2021.3333333333333</v>
      </c>
      <c r="F132">
        <v>9800.0666666666675</v>
      </c>
    </row>
    <row r="133" spans="1:6" x14ac:dyDescent="0.35">
      <c r="A133" s="5">
        <v>2873212765</v>
      </c>
      <c r="B133" s="1">
        <v>1695.75</v>
      </c>
      <c r="C133" s="1">
        <v>6636.583333333333</v>
      </c>
      <c r="D133">
        <v>6636.583333333333</v>
      </c>
      <c r="E133">
        <v>1695.75</v>
      </c>
      <c r="F133">
        <v>6636.583333333333</v>
      </c>
    </row>
    <row r="134" spans="1:6" x14ac:dyDescent="0.35">
      <c r="A134" s="5">
        <v>2891001357</v>
      </c>
      <c r="B134" s="1">
        <v>2273.375</v>
      </c>
      <c r="C134" s="1">
        <v>773.625</v>
      </c>
      <c r="D134">
        <v>773.625</v>
      </c>
      <c r="E134">
        <v>2273.375</v>
      </c>
      <c r="F134">
        <v>773.625</v>
      </c>
    </row>
    <row r="135" spans="1:6" x14ac:dyDescent="0.35">
      <c r="A135" s="5">
        <v>3372868164</v>
      </c>
      <c r="B135" s="1">
        <v>1860.3</v>
      </c>
      <c r="C135" s="1">
        <v>6127.5</v>
      </c>
      <c r="D135">
        <v>6127.5</v>
      </c>
      <c r="E135">
        <v>1860.3</v>
      </c>
      <c r="F135">
        <v>6127.5</v>
      </c>
    </row>
    <row r="136" spans="1:6" x14ac:dyDescent="0.35">
      <c r="A136" s="5">
        <v>3977333714</v>
      </c>
      <c r="B136" s="1">
        <v>1398.0833333333333</v>
      </c>
      <c r="C136" s="1">
        <v>8663.9166666666661</v>
      </c>
      <c r="D136">
        <v>8663.9166666666661</v>
      </c>
      <c r="E136">
        <v>1398.0833333333333</v>
      </c>
      <c r="F136">
        <v>8663.9166666666661</v>
      </c>
    </row>
    <row r="137" spans="1:6" x14ac:dyDescent="0.35">
      <c r="A137" s="5">
        <v>4020332650</v>
      </c>
      <c r="B137" s="1">
        <v>3075.375</v>
      </c>
      <c r="C137" s="1">
        <v>5776.59375</v>
      </c>
      <c r="D137">
        <v>5776.59375</v>
      </c>
      <c r="E137">
        <v>3075.375</v>
      </c>
      <c r="F137">
        <v>5776.59375</v>
      </c>
    </row>
    <row r="138" spans="1:6" x14ac:dyDescent="0.35">
      <c r="A138" s="5">
        <v>4057192912</v>
      </c>
      <c r="B138" s="1">
        <v>1903.53125</v>
      </c>
      <c r="C138" s="1">
        <v>1887.21875</v>
      </c>
      <c r="D138">
        <v>1887.21875</v>
      </c>
      <c r="E138">
        <v>1903.53125</v>
      </c>
      <c r="F138">
        <v>1887.21875</v>
      </c>
    </row>
    <row r="139" spans="1:6" x14ac:dyDescent="0.35">
      <c r="A139" s="5">
        <v>4319703577</v>
      </c>
      <c r="B139" s="1">
        <v>1994.25</v>
      </c>
      <c r="C139" s="1">
        <v>7820.583333333333</v>
      </c>
      <c r="D139">
        <v>7820.583333333333</v>
      </c>
      <c r="E139">
        <v>1994.25</v>
      </c>
      <c r="F139">
        <v>7820.583333333333</v>
      </c>
    </row>
    <row r="140" spans="1:6" x14ac:dyDescent="0.35">
      <c r="A140" s="5">
        <v>4388161847</v>
      </c>
      <c r="B140" s="1">
        <v>1805.25</v>
      </c>
      <c r="C140" s="1">
        <v>0</v>
      </c>
      <c r="D140">
        <v>0</v>
      </c>
      <c r="E140">
        <v>1805.25</v>
      </c>
      <c r="F140">
        <v>0</v>
      </c>
    </row>
    <row r="141" spans="1:6" x14ac:dyDescent="0.35">
      <c r="A141" s="5">
        <v>4445114986</v>
      </c>
      <c r="B141" s="1">
        <v>2107.8000000000002</v>
      </c>
      <c r="C141" s="1">
        <v>4293.0666666666666</v>
      </c>
      <c r="D141">
        <v>4293.0666666666666</v>
      </c>
      <c r="E141">
        <v>2107.8000000000002</v>
      </c>
      <c r="F141">
        <v>4293.0666666666666</v>
      </c>
    </row>
    <row r="142" spans="1:6" x14ac:dyDescent="0.35">
      <c r="A142" s="5">
        <v>4558609924</v>
      </c>
      <c r="B142" s="1">
        <v>1830.1666666666667</v>
      </c>
      <c r="C142" s="1">
        <v>5785.25</v>
      </c>
      <c r="D142">
        <v>5785.25</v>
      </c>
      <c r="E142">
        <v>1830.1666666666667</v>
      </c>
      <c r="F142">
        <v>5785.25</v>
      </c>
    </row>
    <row r="143" spans="1:6" x14ac:dyDescent="0.35">
      <c r="A143" s="5">
        <v>4702921684</v>
      </c>
      <c r="B143" s="1">
        <v>2821.4666666666667</v>
      </c>
      <c r="C143" s="1">
        <v>7943.4</v>
      </c>
      <c r="D143">
        <v>7943.4</v>
      </c>
      <c r="E143">
        <v>2821.4666666666667</v>
      </c>
      <c r="F143">
        <v>7943.4</v>
      </c>
    </row>
    <row r="144" spans="1:6" x14ac:dyDescent="0.35">
      <c r="A144" s="5">
        <v>5553957443</v>
      </c>
      <c r="B144" s="1">
        <v>1802.5</v>
      </c>
      <c r="C144" s="1">
        <v>8354.75</v>
      </c>
      <c r="D144">
        <v>8354.75</v>
      </c>
      <c r="E144">
        <v>1802.5</v>
      </c>
      <c r="F144">
        <v>8354.75</v>
      </c>
    </row>
    <row r="145" spans="1:6" x14ac:dyDescent="0.35">
      <c r="A145" s="5">
        <v>5577150313</v>
      </c>
      <c r="B145" s="1">
        <v>3300.2727272727275</v>
      </c>
      <c r="C145" s="1">
        <v>8608.181818181818</v>
      </c>
      <c r="D145">
        <v>8608.181818181818</v>
      </c>
      <c r="E145">
        <v>3300.2727272727275</v>
      </c>
      <c r="F145">
        <v>8608.181818181818</v>
      </c>
    </row>
    <row r="146" spans="1:6" x14ac:dyDescent="0.35">
      <c r="A146" s="5">
        <v>6117666160</v>
      </c>
      <c r="B146" s="1">
        <v>2099.3000000000002</v>
      </c>
      <c r="C146" s="1">
        <v>8248.6</v>
      </c>
      <c r="D146">
        <v>8248.6</v>
      </c>
      <c r="E146">
        <v>2099.3000000000002</v>
      </c>
      <c r="F146">
        <v>8248.6</v>
      </c>
    </row>
    <row r="147" spans="1:6" x14ac:dyDescent="0.35">
      <c r="A147" s="5">
        <v>6290855005</v>
      </c>
      <c r="B147" s="1">
        <v>2165.6</v>
      </c>
      <c r="C147" s="1">
        <v>1618.1</v>
      </c>
      <c r="D147">
        <v>1618.1</v>
      </c>
      <c r="E147">
        <v>2165.6</v>
      </c>
      <c r="F147">
        <v>1618.1</v>
      </c>
    </row>
    <row r="148" spans="1:6" x14ac:dyDescent="0.35">
      <c r="A148" s="5">
        <v>6391747486</v>
      </c>
      <c r="B148" s="1">
        <v>1763.1111111111111</v>
      </c>
      <c r="C148" s="1">
        <v>1336.8888888888889</v>
      </c>
      <c r="D148">
        <v>1336.8888888888889</v>
      </c>
      <c r="E148">
        <v>1763.1111111111111</v>
      </c>
      <c r="F148">
        <v>1336.8888888888889</v>
      </c>
    </row>
    <row r="149" spans="1:6" x14ac:dyDescent="0.35">
      <c r="A149" s="5">
        <v>6775888955</v>
      </c>
      <c r="B149" s="1">
        <v>2724.7777777777778</v>
      </c>
      <c r="C149" s="1">
        <v>5559</v>
      </c>
      <c r="D149">
        <v>5559</v>
      </c>
      <c r="E149">
        <v>2724.7777777777778</v>
      </c>
      <c r="F149">
        <v>5559</v>
      </c>
    </row>
    <row r="150" spans="1:6" x14ac:dyDescent="0.35">
      <c r="A150" s="5">
        <v>6962181067</v>
      </c>
      <c r="B150" s="1">
        <v>2089.2142857142858</v>
      </c>
      <c r="C150" s="1">
        <v>12639.714285714286</v>
      </c>
      <c r="D150">
        <v>12639.714285714286</v>
      </c>
      <c r="E150">
        <v>2089.2142857142858</v>
      </c>
      <c r="F150">
        <v>12639.714285714286</v>
      </c>
    </row>
    <row r="151" spans="1:6" x14ac:dyDescent="0.35">
      <c r="A151" s="5">
        <v>7007744171</v>
      </c>
      <c r="B151" s="1">
        <v>2627.0833333333335</v>
      </c>
      <c r="C151" s="1">
        <v>12260.333333333334</v>
      </c>
      <c r="D151">
        <v>12260.333333333334</v>
      </c>
      <c r="E151">
        <v>2627.0833333333335</v>
      </c>
      <c r="F151">
        <v>12260.333333333334</v>
      </c>
    </row>
    <row r="152" spans="1:6" x14ac:dyDescent="0.35">
      <c r="A152" s="5">
        <v>7086361926</v>
      </c>
      <c r="B152" s="1">
        <v>2177</v>
      </c>
      <c r="C152" s="1">
        <v>6103.916666666667</v>
      </c>
      <c r="D152">
        <v>6103.916666666667</v>
      </c>
      <c r="E152">
        <v>2177</v>
      </c>
      <c r="F152">
        <v>6103.916666666667</v>
      </c>
    </row>
    <row r="153" spans="1:6" x14ac:dyDescent="0.35">
      <c r="A153" s="5">
        <v>8053475328</v>
      </c>
      <c r="B153" s="1">
        <v>2893.181818181818</v>
      </c>
      <c r="C153" s="1">
        <v>14844.363636363636</v>
      </c>
      <c r="D153">
        <v>14844.363636363636</v>
      </c>
      <c r="E153">
        <v>2893.181818181818</v>
      </c>
      <c r="F153">
        <v>14844.363636363636</v>
      </c>
    </row>
    <row r="154" spans="1:6" x14ac:dyDescent="0.35">
      <c r="A154" s="5">
        <v>8253242879</v>
      </c>
      <c r="B154" s="1">
        <v>1463</v>
      </c>
      <c r="C154" s="1">
        <v>2389.9166666666665</v>
      </c>
      <c r="D154">
        <v>2389.9166666666665</v>
      </c>
      <c r="E154">
        <v>1463</v>
      </c>
      <c r="F154">
        <v>2389.9166666666665</v>
      </c>
    </row>
    <row r="155" spans="1:6" x14ac:dyDescent="0.35">
      <c r="A155" s="5">
        <v>8378563200</v>
      </c>
      <c r="B155" s="1">
        <v>3356.1666666666665</v>
      </c>
      <c r="C155" s="1">
        <v>8135.25</v>
      </c>
      <c r="D155">
        <v>8135.25</v>
      </c>
      <c r="E155">
        <v>3356.1666666666665</v>
      </c>
      <c r="F155">
        <v>8135.25</v>
      </c>
    </row>
    <row r="156" spans="1:6" x14ac:dyDescent="0.35">
      <c r="A156" s="5">
        <v>8583815059</v>
      </c>
      <c r="B156" s="1">
        <v>2391.25</v>
      </c>
      <c r="C156" s="1">
        <v>3045.5</v>
      </c>
      <c r="D156">
        <v>3045.5</v>
      </c>
      <c r="E156">
        <v>2391.25</v>
      </c>
      <c r="F156">
        <v>3045.5</v>
      </c>
    </row>
    <row r="157" spans="1:6" x14ac:dyDescent="0.35">
      <c r="A157" s="5">
        <v>8792009665</v>
      </c>
      <c r="B157" s="1">
        <v>2073.6666666666665</v>
      </c>
      <c r="C157" s="1">
        <v>3094.9166666666665</v>
      </c>
      <c r="D157">
        <v>3094.9166666666665</v>
      </c>
      <c r="E157">
        <v>2073.6666666666665</v>
      </c>
      <c r="F157">
        <v>3094.9166666666665</v>
      </c>
    </row>
    <row r="158" spans="1:6" x14ac:dyDescent="0.35">
      <c r="A158" s="5">
        <v>8877689391</v>
      </c>
      <c r="B158" s="1">
        <v>3451.1666666666665</v>
      </c>
      <c r="C158" s="1">
        <v>17417.083333333332</v>
      </c>
      <c r="D158">
        <v>17417.083333333332</v>
      </c>
      <c r="E158">
        <v>3451.1666666666665</v>
      </c>
      <c r="F158">
        <v>17417.083333333332</v>
      </c>
    </row>
    <row r="159" spans="1:6" x14ac:dyDescent="0.35">
      <c r="A159" s="5" t="s">
        <v>32</v>
      </c>
      <c r="B159" s="1">
        <v>2189.4529540481399</v>
      </c>
      <c r="C159" s="1">
        <v>6546.5623632385123</v>
      </c>
      <c r="D159">
        <v>6546.5623632385123</v>
      </c>
      <c r="E159">
        <v>2189.4529540481399</v>
      </c>
      <c r="F159">
        <v>6546.5623632385123</v>
      </c>
    </row>
    <row r="162" spans="1:2" x14ac:dyDescent="0.35">
      <c r="A162" s="7" t="s">
        <v>57</v>
      </c>
    </row>
    <row r="164" spans="1:2" x14ac:dyDescent="0.35">
      <c r="A164" s="4" t="s">
        <v>31</v>
      </c>
      <c r="B164" t="s">
        <v>29</v>
      </c>
    </row>
    <row r="165" spans="1:2" x14ac:dyDescent="0.35">
      <c r="A165" s="5" t="s">
        <v>50</v>
      </c>
      <c r="B165" s="1">
        <v>6058.0138888888887</v>
      </c>
    </row>
    <row r="166" spans="1:2" x14ac:dyDescent="0.35">
      <c r="A166" s="5" t="s">
        <v>51</v>
      </c>
      <c r="B166" s="1">
        <v>7118.588235294118</v>
      </c>
    </row>
    <row r="167" spans="1:2" x14ac:dyDescent="0.35">
      <c r="A167" s="5" t="s">
        <v>52</v>
      </c>
      <c r="B167" s="1">
        <v>4914.9178082191784</v>
      </c>
    </row>
    <row r="168" spans="1:2" x14ac:dyDescent="0.35">
      <c r="A168" s="5" t="s">
        <v>53</v>
      </c>
      <c r="B168" s="1">
        <v>7510.708333333333</v>
      </c>
    </row>
    <row r="169" spans="1:2" x14ac:dyDescent="0.35">
      <c r="A169" s="5" t="s">
        <v>54</v>
      </c>
      <c r="B169" s="1">
        <v>6847.083333333333</v>
      </c>
    </row>
    <row r="170" spans="1:2" x14ac:dyDescent="0.35">
      <c r="A170" s="5" t="s">
        <v>55</v>
      </c>
      <c r="B170" s="1">
        <v>6737.5616438356165</v>
      </c>
    </row>
    <row r="171" spans="1:2" x14ac:dyDescent="0.35">
      <c r="A171" s="5" t="s">
        <v>56</v>
      </c>
      <c r="B171" s="1">
        <v>7089.7733333333335</v>
      </c>
    </row>
    <row r="172" spans="1:2" x14ac:dyDescent="0.35">
      <c r="A172" s="5" t="s">
        <v>32</v>
      </c>
      <c r="B172" s="1">
        <v>6546.5623632385123</v>
      </c>
    </row>
  </sheetData>
  <pageMargins left="0.7" right="0.7" top="0.75" bottom="0.75" header="0.3" footer="0.3"/>
  <pageSetup paperSize="9" orientation="portrait" r:id="rId8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569D7B-9637-428A-B2A8-EFA4D3EEA9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DailyActive</vt:lpstr>
      <vt:lpstr>DailySleep</vt:lpstr>
      <vt:lpstr>Merge</vt:lpstr>
      <vt:lpstr>Discriptive Analysis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SherryG</dc:creator>
  <cp:lastModifiedBy>SherryG</cp:lastModifiedBy>
  <dcterms:created xsi:type="dcterms:W3CDTF">2026-03-05T17:04:07Z</dcterms:created>
  <dcterms:modified xsi:type="dcterms:W3CDTF">2026-03-05T23:06:51Z</dcterms:modified>
</cp:coreProperties>
</file>